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ontus\data-processing-PONTUS-JOHANSSON\"/>
    </mc:Choice>
  </mc:AlternateContent>
  <xr:revisionPtr revIDLastSave="0" documentId="13_ncr:1_{A436FCBD-1A66-4A35-8E4E-0640FA5F9EE6}" xr6:coauthVersionLast="47" xr6:coauthVersionMax="47" xr10:uidLastSave="{00000000-0000-0000-0000-000000000000}"/>
  <bookViews>
    <workbookView xWindow="9525" yWindow="0" windowWidth="9750" windowHeight="1015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5" i="1"/>
  <c r="E4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6" i="1"/>
  <c r="E85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12" i="1"/>
  <c r="E111" i="1"/>
  <c r="E110" i="1"/>
  <c r="E109" i="1"/>
  <c r="E108" i="1"/>
  <c r="E107" i="1"/>
  <c r="E106" i="1"/>
  <c r="E105" i="1"/>
  <c r="E27" i="1"/>
  <c r="E28" i="1"/>
  <c r="E104" i="1"/>
</calcChain>
</file>

<file path=xl/sharedStrings.xml><?xml version="1.0" encoding="utf-8"?>
<sst xmlns="http://schemas.openxmlformats.org/spreadsheetml/2006/main" count="1019" uniqueCount="203">
  <si>
    <t>ID</t>
  </si>
  <si>
    <t>Name</t>
  </si>
  <si>
    <t>Sex</t>
  </si>
  <si>
    <t>Age</t>
  </si>
  <si>
    <t>Height</t>
  </si>
  <si>
    <t>Weight</t>
  </si>
  <si>
    <t>Team</t>
  </si>
  <si>
    <t>NOC</t>
  </si>
  <si>
    <t>Games</t>
  </si>
  <si>
    <t>Year</t>
  </si>
  <si>
    <t>Season</t>
  </si>
  <si>
    <t>City</t>
  </si>
  <si>
    <t>Sport</t>
  </si>
  <si>
    <t>Event</t>
  </si>
  <si>
    <t>Medal</t>
  </si>
  <si>
    <t>Colin Anderson</t>
  </si>
  <si>
    <t>M</t>
  </si>
  <si>
    <t>Australia</t>
  </si>
  <si>
    <t>AUS</t>
  </si>
  <si>
    <t>1956 Summer</t>
  </si>
  <si>
    <t>Summer</t>
  </si>
  <si>
    <t>Melbourne</t>
  </si>
  <si>
    <t>Shooting</t>
  </si>
  <si>
    <t>Shooting Men's Running Target, Single And Double Shot</t>
  </si>
  <si>
    <t>George Arthur</t>
  </si>
  <si>
    <t>Football</t>
  </si>
  <si>
    <t>Football Men's Football</t>
  </si>
  <si>
    <t>Maxwell Allen "Max" Baldwin</t>
  </si>
  <si>
    <t>Canoeing</t>
  </si>
  <si>
    <t>Canoeing Men's Kayak Singles, 10,000 metres</t>
  </si>
  <si>
    <t>William Robert "Billy" Barber</t>
  </si>
  <si>
    <t>1948 Summer</t>
  </si>
  <si>
    <t>London</t>
  </si>
  <si>
    <t>Boxing</t>
  </si>
  <si>
    <t>Boxing Men's Lightweight</t>
  </si>
  <si>
    <t>Robert "Bobby" Bath</t>
  </si>
  <si>
    <t>Boxing Men's Bantamweight</t>
  </si>
  <si>
    <t>Frederick "Fred" Baugh</t>
  </si>
  <si>
    <t>Weightlifting</t>
  </si>
  <si>
    <t>Weightlifting Men's Middleweight</t>
  </si>
  <si>
    <t>Brian Reginald Blackburn</t>
  </si>
  <si>
    <t>Gymnastics</t>
  </si>
  <si>
    <t>Gymnastics Men's Individual All-Around</t>
  </si>
  <si>
    <t>Gymnastics Men's Team All-Around</t>
  </si>
  <si>
    <t>Gymnastics Men's Floor Exercise</t>
  </si>
  <si>
    <t>Gymnastics Men's Horse Vault</t>
  </si>
  <si>
    <t>Gymnastics Men's Parallel Bars</t>
  </si>
  <si>
    <t>Gymnastics Men's Horizontal Bar</t>
  </si>
  <si>
    <t>Gymnastics Men's Rings</t>
  </si>
  <si>
    <t>Gymnastics Men's Pommelled Horse</t>
  </si>
  <si>
    <t>Raymond Neville "Ray" Buckingham</t>
  </si>
  <si>
    <t>Fencing</t>
  </si>
  <si>
    <t>Fencing Men's Foil, Team</t>
  </si>
  <si>
    <t>Arthur William "Ted" Bull</t>
  </si>
  <si>
    <t>1924 Summer</t>
  </si>
  <si>
    <t>Paris</t>
  </si>
  <si>
    <t>Rowing</t>
  </si>
  <si>
    <t>Rowing Men's Single Sculls</t>
  </si>
  <si>
    <t>Brian Barrett Carolan</t>
  </si>
  <si>
    <t>Paula</t>
  </si>
  <si>
    <t>Sailing</t>
  </si>
  <si>
    <t>Sailing Mixed Three Person Keelboat</t>
  </si>
  <si>
    <t>James Arthur "Jim" Carolan</t>
  </si>
  <si>
    <t>Kenneth Clarke</t>
  </si>
  <si>
    <t>Hockey</t>
  </si>
  <si>
    <t>Hockey Men's Hockey</t>
  </si>
  <si>
    <t>Rodney Clarke</t>
  </si>
  <si>
    <t>1988 Winter</t>
  </si>
  <si>
    <t>Winter</t>
  </si>
  <si>
    <t>Calgary</t>
  </si>
  <si>
    <t>Figure Skating</t>
  </si>
  <si>
    <t>Figure Skating Mixed Ice Dancing</t>
  </si>
  <si>
    <t>Edith Cochrane (-Pelluso)</t>
  </si>
  <si>
    <t>F</t>
  </si>
  <si>
    <t>Canoeing Women's Kayak Singles, 500 metres</t>
  </si>
  <si>
    <t>Walter Charles "Wally" Coppins</t>
  </si>
  <si>
    <t>Cycling</t>
  </si>
  <si>
    <t>Cycling Men's Sprint</t>
  </si>
  <si>
    <t>Cycling Men's 50 kilometres</t>
  </si>
  <si>
    <t>Thomas George "Tom" Cross</t>
  </si>
  <si>
    <t>Stanley "Stan" Dargis</t>
  </si>
  <si>
    <t>Basketball</t>
  </si>
  <si>
    <t>Basketball Men's Basketball</t>
  </si>
  <si>
    <t>Edna May Davey (-Hamilton)</t>
  </si>
  <si>
    <t>1928 Summer</t>
  </si>
  <si>
    <t>Amsterdam</t>
  </si>
  <si>
    <t>Swimming</t>
  </si>
  <si>
    <t>Swimming Women's 100 metres Freestyle</t>
  </si>
  <si>
    <t>Swimming Women's 400 metres Freestyle</t>
  </si>
  <si>
    <t>William Maurice J. Davies</t>
  </si>
  <si>
    <t>Wrestling</t>
  </si>
  <si>
    <t>Wrestling Men's Middleweight, Freestyle</t>
  </si>
  <si>
    <t>Herman Austin Doerner</t>
  </si>
  <si>
    <t>Water Polo</t>
  </si>
  <si>
    <t>Water Polo Men's Water Polo</t>
  </si>
  <si>
    <t>John P. Dwyer</t>
  </si>
  <si>
    <t>Barbara Elizabeth Evans (-Sargeant)</t>
  </si>
  <si>
    <t>Swimming Women's 200 metres Breaststroke</t>
  </si>
  <si>
    <t>Arthur E. Ford</t>
  </si>
  <si>
    <t>Wrestling Men's Bantamweight, Freestyle</t>
  </si>
  <si>
    <t>Ingeborg "Ing" Fraser (Haussler-)</t>
  </si>
  <si>
    <t>Gymnastics Women's Individual All-Around</t>
  </si>
  <si>
    <t>Gymnastics Women's Floor Exercise</t>
  </si>
  <si>
    <t>Gymnastics Women's Horse Vault</t>
  </si>
  <si>
    <t>Gymnastics Women's Uneven Bars</t>
  </si>
  <si>
    <t>Gymnastics Women's Balance Beam</t>
  </si>
  <si>
    <t>Murray Garretty</t>
  </si>
  <si>
    <t>Swimming Men's 1,500 metres Freestyle</t>
  </si>
  <si>
    <t>Swimming Men's 4 x 200 metres Freestyle Relay</t>
  </si>
  <si>
    <t>Gold</t>
  </si>
  <si>
    <t>David Munro Gourlay</t>
  </si>
  <si>
    <t>Noel Francis Granger</t>
  </si>
  <si>
    <t>Wrestling Men's Welterweight, Freestyle</t>
  </si>
  <si>
    <t>Graham Hamilton</t>
  </si>
  <si>
    <t>Laurence Neville Harding-Smith</t>
  </si>
  <si>
    <t>Fencing Men's epee, Individual</t>
  </si>
  <si>
    <t>Bryan Leslie Harper</t>
  </si>
  <si>
    <t>Canoeing Men's Canadian Singles, 1,000 metres</t>
  </si>
  <si>
    <t>Canoeing Men's Canadian Singles, 10,000 metres</t>
  </si>
  <si>
    <t>Bertram "Bert" Harris</t>
  </si>
  <si>
    <t>Wrestling Men's Flyweight, Freestyle</t>
  </si>
  <si>
    <t>Harry Maitland Hay</t>
  </si>
  <si>
    <t>1920 Summer</t>
  </si>
  <si>
    <t>Antwerpen</t>
  </si>
  <si>
    <t>Swimming Men's 100 metres Freestyle</t>
  </si>
  <si>
    <t>Swimming Men's 400 metres Freestyle</t>
  </si>
  <si>
    <t>Silver</t>
  </si>
  <si>
    <t>John Hayres</t>
  </si>
  <si>
    <t>Swimming Men's 100 metres Backstroke</t>
  </si>
  <si>
    <t>Patricia Elsie "Pat" Howard (-Freeman)</t>
  </si>
  <si>
    <t>Diving</t>
  </si>
  <si>
    <t>Diving Women's Springboard</t>
  </si>
  <si>
    <t>Glen Ray Jobson</t>
  </si>
  <si>
    <t>Lois Margaret Joseph (-Green)</t>
  </si>
  <si>
    <t>Fencing Women's Foil, Individual</t>
  </si>
  <si>
    <t>William Ernest "Bill" Kendall</t>
  </si>
  <si>
    <t>1936 Summer</t>
  </si>
  <si>
    <t>Berlin</t>
  </si>
  <si>
    <t>Jack King</t>
  </si>
  <si>
    <t>John Asa Lawrey Lees</t>
  </si>
  <si>
    <t>Barbara Ethel MacAulay (-Donnet)</t>
  </si>
  <si>
    <t>Diving Women's Platform</t>
  </si>
  <si>
    <t>Vitezslav "Victor" Macha</t>
  </si>
  <si>
    <t>Wrestling Men's Light-Heavyweight, Greco-Roman</t>
  </si>
  <si>
    <t>Graham Philip McKenzie</t>
  </si>
  <si>
    <t>Fencing Men's Sabre, Individual</t>
  </si>
  <si>
    <t>Donald "Don" Mecklem</t>
  </si>
  <si>
    <t>Emilio "Mill" Menghini</t>
  </si>
  <si>
    <t>Shooting Men's Free Rifle, Three Positions, 300 metres</t>
  </si>
  <si>
    <t>Roy Thomas Moore</t>
  </si>
  <si>
    <t>Cycling Men's Team Pursuit, 4,000 metres</t>
  </si>
  <si>
    <t>Thomas Henry "Harry" Morris</t>
  </si>
  <si>
    <t>Diving Men's Springboard</t>
  </si>
  <si>
    <t>Diving Men's Platform</t>
  </si>
  <si>
    <t>Jack Heather Newman</t>
  </si>
  <si>
    <t>Athletics</t>
  </si>
  <si>
    <t>Athletics Men's 800 metres</t>
  </si>
  <si>
    <t>Athletics Men's 1,500 metres</t>
  </si>
  <si>
    <t>George Terence Nicoll</t>
  </si>
  <si>
    <t>Modern Pentathlon</t>
  </si>
  <si>
    <t>Modern Pentathlon Men's Individual</t>
  </si>
  <si>
    <t>Modern Pentathlon Men's Team</t>
  </si>
  <si>
    <t>John Brendan O'Sullivan</t>
  </si>
  <si>
    <t>Cycling Men's Road Race, Individual</t>
  </si>
  <si>
    <t>Cycling Men's Road Race, Team</t>
  </si>
  <si>
    <t>Donald Robert "Don" Palmer</t>
  </si>
  <si>
    <t>1952 Summer</t>
  </si>
  <si>
    <t>Helsinki</t>
  </si>
  <si>
    <t>Rowing Men's Coxless Pairs</t>
  </si>
  <si>
    <t>George Richard Parker</t>
  </si>
  <si>
    <t>Athletics Men's 3,000 metres Walk</t>
  </si>
  <si>
    <t>Athletics Men's 10 kilometres Walk</t>
  </si>
  <si>
    <t>Reginald Parker</t>
  </si>
  <si>
    <t>William Paterson</t>
  </si>
  <si>
    <t>Wrestling Men's Middleweight, Greco-Roman</t>
  </si>
  <si>
    <t>Ruby Mary Reynolds-Lewis</t>
  </si>
  <si>
    <t>Art Competitions</t>
  </si>
  <si>
    <t>Art Competitions Mixed Music</t>
  </si>
  <si>
    <t>Noel Philip Ryan</t>
  </si>
  <si>
    <t>1932 Summer</t>
  </si>
  <si>
    <t>Los Angeles</t>
  </si>
  <si>
    <t>Emeric Stephen Santo</t>
  </si>
  <si>
    <t>Fencing Men's Sabre, Team</t>
  </si>
  <si>
    <t>John Malcolm Scott</t>
  </si>
  <si>
    <t>Falcon IV</t>
  </si>
  <si>
    <t>Sailing Mixed Two Person Heavyweight Dinghy</t>
  </si>
  <si>
    <t>Pamela Rochene "Pam" Singleton (-Hutchings)</t>
  </si>
  <si>
    <t>Swimming Women's 100 metres Backstroke</t>
  </si>
  <si>
    <t>James E. "Jack" Standen</t>
  </si>
  <si>
    <t>Roderick Murdoch "Rod" Steele</t>
  </si>
  <si>
    <t>Peter Joseph Sutton</t>
  </si>
  <si>
    <t>Doris M. Thompson</t>
  </si>
  <si>
    <t>John "Jack" Trickey</t>
  </si>
  <si>
    <t>William Tully</t>
  </si>
  <si>
    <t>Jeffrey Anton "Jeff" Van de Graaf</t>
  </si>
  <si>
    <t>1976 Summer</t>
  </si>
  <si>
    <t>Montreal</t>
  </si>
  <si>
    <t>Swimming Men's 200 metres Butterfly</t>
  </si>
  <si>
    <t>Swimming Men's 400 metres Individual Medley</t>
  </si>
  <si>
    <t>John Wilfred "Jack" Webster</t>
  </si>
  <si>
    <t>Rowing Men's Coxed Fours</t>
  </si>
  <si>
    <t>Raymond Eric "Ray" Whiteside</t>
  </si>
  <si>
    <t>Arthur Winther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</si>
</sst>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2"/>
  <sheetViews>
    <sheetView tabSelected="1" topLeftCell="M1" workbookViewId="0">
      <selection activeCell="E2" sqref="E2"/>
    </sheetView>
  </sheetViews>
  <sheetFormatPr defaultRowHeight="14.75" x14ac:dyDescent="0.75"/>
  <cols>
    <col min="15" max="15" width="46.40625" bestFit="1" customWidth="1"/>
  </cols>
  <sheetData>
    <row r="1" spans="1:16" x14ac:dyDescent="0.7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75">
      <c r="A2" s="1">
        <v>6778</v>
      </c>
      <c r="B2">
        <v>3802</v>
      </c>
      <c r="C2" t="s">
        <v>15</v>
      </c>
      <c r="D2" t="s">
        <v>16</v>
      </c>
      <c r="E2">
        <f>SUM((K2-1912)-1)</f>
        <v>43</v>
      </c>
      <c r="H2" t="s">
        <v>17</v>
      </c>
      <c r="I2" t="s">
        <v>18</v>
      </c>
      <c r="J2" t="s">
        <v>19</v>
      </c>
      <c r="K2">
        <v>1956</v>
      </c>
      <c r="L2" t="s">
        <v>20</v>
      </c>
      <c r="M2" t="s">
        <v>21</v>
      </c>
      <c r="N2" t="s">
        <v>22</v>
      </c>
      <c r="O2" t="s">
        <v>23</v>
      </c>
    </row>
    <row r="3" spans="1:16" x14ac:dyDescent="0.75">
      <c r="A3" s="1">
        <v>9811</v>
      </c>
      <c r="B3">
        <v>5371</v>
      </c>
      <c r="C3" t="s">
        <v>24</v>
      </c>
      <c r="D3" t="s">
        <v>16</v>
      </c>
      <c r="E3">
        <f>SUM(K3-1925)</f>
        <v>31</v>
      </c>
      <c r="H3" t="s">
        <v>17</v>
      </c>
      <c r="I3" t="s">
        <v>18</v>
      </c>
      <c r="J3" t="s">
        <v>19</v>
      </c>
      <c r="K3">
        <v>1956</v>
      </c>
      <c r="L3" t="s">
        <v>20</v>
      </c>
      <c r="M3" t="s">
        <v>21</v>
      </c>
      <c r="N3" t="s">
        <v>25</v>
      </c>
      <c r="O3" t="s">
        <v>26</v>
      </c>
    </row>
    <row r="4" spans="1:16" x14ac:dyDescent="0.75">
      <c r="A4" s="1">
        <v>13325</v>
      </c>
      <c r="B4">
        <v>7235</v>
      </c>
      <c r="C4" t="s">
        <v>27</v>
      </c>
      <c r="D4" t="s">
        <v>16</v>
      </c>
      <c r="E4">
        <f>SUM(K4-1928)</f>
        <v>28</v>
      </c>
      <c r="H4" t="s">
        <v>17</v>
      </c>
      <c r="I4" t="s">
        <v>18</v>
      </c>
      <c r="J4" t="s">
        <v>19</v>
      </c>
      <c r="K4">
        <v>1956</v>
      </c>
      <c r="L4" t="s">
        <v>20</v>
      </c>
      <c r="M4" t="s">
        <v>21</v>
      </c>
      <c r="N4" t="s">
        <v>28</v>
      </c>
      <c r="O4" t="s">
        <v>29</v>
      </c>
    </row>
    <row r="5" spans="1:16" x14ac:dyDescent="0.75">
      <c r="A5" s="1">
        <v>14333</v>
      </c>
      <c r="B5">
        <v>7731</v>
      </c>
      <c r="C5" t="s">
        <v>30</v>
      </c>
      <c r="D5" t="s">
        <v>16</v>
      </c>
      <c r="E5">
        <f>SUM(K5-1928)</f>
        <v>20</v>
      </c>
      <c r="H5" t="s">
        <v>17</v>
      </c>
      <c r="I5" t="s">
        <v>18</v>
      </c>
      <c r="J5" t="s">
        <v>31</v>
      </c>
      <c r="K5">
        <v>1948</v>
      </c>
      <c r="L5" t="s">
        <v>20</v>
      </c>
      <c r="M5" t="s">
        <v>32</v>
      </c>
      <c r="N5" t="s">
        <v>33</v>
      </c>
      <c r="O5" t="s">
        <v>34</v>
      </c>
    </row>
    <row r="6" spans="1:16" x14ac:dyDescent="0.75">
      <c r="A6" s="1">
        <v>15876</v>
      </c>
      <c r="B6">
        <v>8561</v>
      </c>
      <c r="C6" t="s">
        <v>35</v>
      </c>
      <c r="D6" t="s">
        <v>16</v>
      </c>
      <c r="E6">
        <f>SUM(K6-1936)</f>
        <v>20</v>
      </c>
      <c r="H6" t="s">
        <v>17</v>
      </c>
      <c r="I6" t="s">
        <v>18</v>
      </c>
      <c r="J6" t="s">
        <v>19</v>
      </c>
      <c r="K6">
        <v>1956</v>
      </c>
      <c r="L6" t="s">
        <v>20</v>
      </c>
      <c r="M6" t="s">
        <v>21</v>
      </c>
      <c r="N6" t="s">
        <v>33</v>
      </c>
      <c r="O6" t="s">
        <v>36</v>
      </c>
    </row>
    <row r="7" spans="1:16" x14ac:dyDescent="0.75">
      <c r="A7" s="1">
        <v>16255</v>
      </c>
      <c r="B7">
        <v>8730</v>
      </c>
      <c r="C7" t="s">
        <v>37</v>
      </c>
      <c r="D7" t="s">
        <v>16</v>
      </c>
      <c r="E7">
        <f>SUM(K7-1925)</f>
        <v>31</v>
      </c>
      <c r="G7">
        <v>74</v>
      </c>
      <c r="H7" t="s">
        <v>17</v>
      </c>
      <c r="I7" t="s">
        <v>18</v>
      </c>
      <c r="J7" t="s">
        <v>19</v>
      </c>
      <c r="K7">
        <v>1956</v>
      </c>
      <c r="L7" t="s">
        <v>20</v>
      </c>
      <c r="M7" t="s">
        <v>21</v>
      </c>
      <c r="N7" t="s">
        <v>38</v>
      </c>
      <c r="O7" t="s">
        <v>39</v>
      </c>
    </row>
    <row r="8" spans="1:16" x14ac:dyDescent="0.75">
      <c r="A8" s="1">
        <v>22812</v>
      </c>
      <c r="B8">
        <v>11999</v>
      </c>
      <c r="C8" t="s">
        <v>40</v>
      </c>
      <c r="D8" t="s">
        <v>16</v>
      </c>
      <c r="E8">
        <f>SUM((K8-1928)-1)</f>
        <v>27</v>
      </c>
      <c r="H8" t="s">
        <v>17</v>
      </c>
      <c r="I8" t="s">
        <v>18</v>
      </c>
      <c r="J8" t="s">
        <v>19</v>
      </c>
      <c r="K8">
        <v>1956</v>
      </c>
      <c r="L8" t="s">
        <v>20</v>
      </c>
      <c r="M8" t="s">
        <v>21</v>
      </c>
      <c r="N8" t="s">
        <v>41</v>
      </c>
      <c r="O8" t="s">
        <v>42</v>
      </c>
    </row>
    <row r="9" spans="1:16" x14ac:dyDescent="0.75">
      <c r="A9" s="1">
        <v>22813</v>
      </c>
      <c r="B9">
        <v>11999</v>
      </c>
      <c r="C9" t="s">
        <v>40</v>
      </c>
      <c r="D9" t="s">
        <v>16</v>
      </c>
      <c r="E9">
        <f t="shared" ref="E8:E14" si="0">SUM((K9-1928)-1)</f>
        <v>27</v>
      </c>
      <c r="H9" t="s">
        <v>17</v>
      </c>
      <c r="I9" t="s">
        <v>18</v>
      </c>
      <c r="J9" t="s">
        <v>19</v>
      </c>
      <c r="K9">
        <v>1956</v>
      </c>
      <c r="L9" t="s">
        <v>20</v>
      </c>
      <c r="M9" t="s">
        <v>21</v>
      </c>
      <c r="N9" t="s">
        <v>41</v>
      </c>
      <c r="O9" t="s">
        <v>43</v>
      </c>
    </row>
    <row r="10" spans="1:16" x14ac:dyDescent="0.75">
      <c r="A10" s="1">
        <v>22814</v>
      </c>
      <c r="B10">
        <v>11999</v>
      </c>
      <c r="C10" t="s">
        <v>40</v>
      </c>
      <c r="D10" t="s">
        <v>16</v>
      </c>
      <c r="E10">
        <f t="shared" si="0"/>
        <v>27</v>
      </c>
      <c r="H10" t="s">
        <v>17</v>
      </c>
      <c r="I10" t="s">
        <v>18</v>
      </c>
      <c r="J10" t="s">
        <v>19</v>
      </c>
      <c r="K10">
        <v>1956</v>
      </c>
      <c r="L10" t="s">
        <v>20</v>
      </c>
      <c r="M10" t="s">
        <v>21</v>
      </c>
      <c r="N10" t="s">
        <v>41</v>
      </c>
      <c r="O10" t="s">
        <v>44</v>
      </c>
    </row>
    <row r="11" spans="1:16" x14ac:dyDescent="0.75">
      <c r="A11" s="1">
        <v>22815</v>
      </c>
      <c r="B11">
        <v>11999</v>
      </c>
      <c r="C11" t="s">
        <v>40</v>
      </c>
      <c r="D11" t="s">
        <v>16</v>
      </c>
      <c r="E11">
        <f t="shared" si="0"/>
        <v>27</v>
      </c>
      <c r="H11" t="s">
        <v>17</v>
      </c>
      <c r="I11" t="s">
        <v>18</v>
      </c>
      <c r="J11" t="s">
        <v>19</v>
      </c>
      <c r="K11">
        <v>1956</v>
      </c>
      <c r="L11" t="s">
        <v>20</v>
      </c>
      <c r="M11" t="s">
        <v>21</v>
      </c>
      <c r="N11" t="s">
        <v>41</v>
      </c>
      <c r="O11" t="s">
        <v>45</v>
      </c>
    </row>
    <row r="12" spans="1:16" x14ac:dyDescent="0.75">
      <c r="A12" s="1">
        <v>22816</v>
      </c>
      <c r="B12">
        <v>11999</v>
      </c>
      <c r="C12" t="s">
        <v>40</v>
      </c>
      <c r="D12" t="s">
        <v>16</v>
      </c>
      <c r="E12">
        <f t="shared" si="0"/>
        <v>27</v>
      </c>
      <c r="H12" t="s">
        <v>17</v>
      </c>
      <c r="I12" t="s">
        <v>18</v>
      </c>
      <c r="J12" t="s">
        <v>19</v>
      </c>
      <c r="K12">
        <v>1956</v>
      </c>
      <c r="L12" t="s">
        <v>20</v>
      </c>
      <c r="M12" t="s">
        <v>21</v>
      </c>
      <c r="N12" t="s">
        <v>41</v>
      </c>
      <c r="O12" t="s">
        <v>46</v>
      </c>
    </row>
    <row r="13" spans="1:16" x14ac:dyDescent="0.75">
      <c r="A13" s="1">
        <v>22817</v>
      </c>
      <c r="B13">
        <v>11999</v>
      </c>
      <c r="C13" t="s">
        <v>40</v>
      </c>
      <c r="D13" t="s">
        <v>16</v>
      </c>
      <c r="E13">
        <f t="shared" si="0"/>
        <v>27</v>
      </c>
      <c r="H13" t="s">
        <v>17</v>
      </c>
      <c r="I13" t="s">
        <v>18</v>
      </c>
      <c r="J13" t="s">
        <v>19</v>
      </c>
      <c r="K13">
        <v>1956</v>
      </c>
      <c r="L13" t="s">
        <v>20</v>
      </c>
      <c r="M13" t="s">
        <v>21</v>
      </c>
      <c r="N13" t="s">
        <v>41</v>
      </c>
      <c r="O13" t="s">
        <v>47</v>
      </c>
    </row>
    <row r="14" spans="1:16" x14ac:dyDescent="0.75">
      <c r="A14" s="1">
        <v>22818</v>
      </c>
      <c r="B14">
        <v>11999</v>
      </c>
      <c r="C14" t="s">
        <v>40</v>
      </c>
      <c r="D14" t="s">
        <v>16</v>
      </c>
      <c r="E14">
        <f t="shared" si="0"/>
        <v>27</v>
      </c>
      <c r="H14" t="s">
        <v>17</v>
      </c>
      <c r="I14" t="s">
        <v>18</v>
      </c>
      <c r="J14" t="s">
        <v>19</v>
      </c>
      <c r="K14">
        <v>1956</v>
      </c>
      <c r="L14" t="s">
        <v>20</v>
      </c>
      <c r="M14" t="s">
        <v>21</v>
      </c>
      <c r="N14" t="s">
        <v>41</v>
      </c>
      <c r="O14" t="s">
        <v>48</v>
      </c>
    </row>
    <row r="15" spans="1:16" x14ac:dyDescent="0.75">
      <c r="A15" s="1">
        <v>22819</v>
      </c>
      <c r="B15">
        <v>11999</v>
      </c>
      <c r="C15" t="s">
        <v>40</v>
      </c>
      <c r="D15" t="s">
        <v>16</v>
      </c>
      <c r="E15">
        <f>SUM((K15-1928)-1)</f>
        <v>27</v>
      </c>
      <c r="H15" t="s">
        <v>17</v>
      </c>
      <c r="I15" t="s">
        <v>18</v>
      </c>
      <c r="J15" t="s">
        <v>19</v>
      </c>
      <c r="K15">
        <v>1956</v>
      </c>
      <c r="L15" t="s">
        <v>20</v>
      </c>
      <c r="M15" t="s">
        <v>21</v>
      </c>
      <c r="N15" t="s">
        <v>41</v>
      </c>
      <c r="O15" t="s">
        <v>49</v>
      </c>
    </row>
    <row r="16" spans="1:16" x14ac:dyDescent="0.75">
      <c r="A16" s="1">
        <v>31301</v>
      </c>
      <c r="B16">
        <v>16091</v>
      </c>
      <c r="C16" t="s">
        <v>50</v>
      </c>
      <c r="D16" t="s">
        <v>16</v>
      </c>
      <c r="E16">
        <f>SUM(K16-1930)</f>
        <v>26</v>
      </c>
      <c r="H16" t="s">
        <v>17</v>
      </c>
      <c r="I16" t="s">
        <v>18</v>
      </c>
      <c r="J16" t="s">
        <v>19</v>
      </c>
      <c r="K16">
        <v>1956</v>
      </c>
      <c r="L16" t="s">
        <v>20</v>
      </c>
      <c r="M16" t="s">
        <v>21</v>
      </c>
      <c r="N16" t="s">
        <v>51</v>
      </c>
      <c r="O16" t="s">
        <v>52</v>
      </c>
    </row>
    <row r="17" spans="1:15" x14ac:dyDescent="0.75">
      <c r="A17" s="1">
        <v>31861</v>
      </c>
      <c r="B17">
        <v>16368</v>
      </c>
      <c r="C17" t="s">
        <v>53</v>
      </c>
      <c r="D17" t="s">
        <v>16</v>
      </c>
      <c r="E17">
        <f>SUM(K17-1898)</f>
        <v>26</v>
      </c>
      <c r="H17" t="s">
        <v>17</v>
      </c>
      <c r="I17" t="s">
        <v>18</v>
      </c>
      <c r="J17" t="s">
        <v>54</v>
      </c>
      <c r="K17">
        <v>1924</v>
      </c>
      <c r="L17" t="s">
        <v>20</v>
      </c>
      <c r="M17" t="s">
        <v>55</v>
      </c>
      <c r="N17" t="s">
        <v>56</v>
      </c>
      <c r="O17" t="s">
        <v>57</v>
      </c>
    </row>
    <row r="18" spans="1:15" x14ac:dyDescent="0.75">
      <c r="A18" s="1">
        <v>35851</v>
      </c>
      <c r="B18">
        <v>18421</v>
      </c>
      <c r="C18" t="s">
        <v>58</v>
      </c>
      <c r="D18" t="s">
        <v>16</v>
      </c>
      <c r="E18">
        <f>SUM(K18-1927)</f>
        <v>29</v>
      </c>
      <c r="H18" t="s">
        <v>59</v>
      </c>
      <c r="I18" t="s">
        <v>18</v>
      </c>
      <c r="J18" t="s">
        <v>19</v>
      </c>
      <c r="K18">
        <v>1956</v>
      </c>
      <c r="L18" t="s">
        <v>20</v>
      </c>
      <c r="M18" t="s">
        <v>21</v>
      </c>
      <c r="N18" t="s">
        <v>60</v>
      </c>
      <c r="O18" t="s">
        <v>61</v>
      </c>
    </row>
    <row r="19" spans="1:15" x14ac:dyDescent="0.75">
      <c r="A19" s="1">
        <v>35852</v>
      </c>
      <c r="B19">
        <v>18422</v>
      </c>
      <c r="C19" t="s">
        <v>62</v>
      </c>
      <c r="D19" t="s">
        <v>16</v>
      </c>
      <c r="E19">
        <f>SUM(K19-1928)</f>
        <v>28</v>
      </c>
      <c r="H19" t="s">
        <v>59</v>
      </c>
      <c r="I19" t="s">
        <v>18</v>
      </c>
      <c r="J19" t="s">
        <v>19</v>
      </c>
      <c r="K19">
        <v>1956</v>
      </c>
      <c r="L19" t="s">
        <v>20</v>
      </c>
      <c r="M19" t="s">
        <v>21</v>
      </c>
      <c r="N19" t="s">
        <v>60</v>
      </c>
      <c r="O19" t="s">
        <v>61</v>
      </c>
    </row>
    <row r="20" spans="1:15" x14ac:dyDescent="0.75">
      <c r="A20" s="1">
        <v>42392</v>
      </c>
      <c r="B20">
        <v>21870</v>
      </c>
      <c r="C20" t="s">
        <v>63</v>
      </c>
      <c r="D20" t="s">
        <v>16</v>
      </c>
      <c r="E20">
        <f>SUM(K20-1931)</f>
        <v>25</v>
      </c>
      <c r="H20" t="s">
        <v>17</v>
      </c>
      <c r="I20" t="s">
        <v>18</v>
      </c>
      <c r="J20" t="s">
        <v>19</v>
      </c>
      <c r="K20">
        <v>1956</v>
      </c>
      <c r="L20" t="s">
        <v>20</v>
      </c>
      <c r="M20" t="s">
        <v>21</v>
      </c>
      <c r="N20" t="s">
        <v>64</v>
      </c>
      <c r="O20" t="s">
        <v>65</v>
      </c>
    </row>
    <row r="21" spans="1:15" x14ac:dyDescent="0.75">
      <c r="A21" s="1">
        <v>42409</v>
      </c>
      <c r="B21">
        <v>21879</v>
      </c>
      <c r="C21" t="s">
        <v>66</v>
      </c>
      <c r="D21" t="s">
        <v>16</v>
      </c>
      <c r="E21">
        <f>SUM(K21-1966)</f>
        <v>22</v>
      </c>
      <c r="H21" t="s">
        <v>17</v>
      </c>
      <c r="I21" t="s">
        <v>18</v>
      </c>
      <c r="J21" t="s">
        <v>67</v>
      </c>
      <c r="K21">
        <v>1988</v>
      </c>
      <c r="L21" t="s">
        <v>68</v>
      </c>
      <c r="M21" t="s">
        <v>69</v>
      </c>
      <c r="N21" t="s">
        <v>70</v>
      </c>
      <c r="O21" t="s">
        <v>71</v>
      </c>
    </row>
    <row r="22" spans="1:15" x14ac:dyDescent="0.75">
      <c r="A22" s="1">
        <v>42974</v>
      </c>
      <c r="B22">
        <v>22164</v>
      </c>
      <c r="C22" t="s">
        <v>72</v>
      </c>
      <c r="D22" t="s">
        <v>73</v>
      </c>
      <c r="E22">
        <f>SUM((K22-1935)-1)</f>
        <v>20</v>
      </c>
      <c r="H22" t="s">
        <v>17</v>
      </c>
      <c r="I22" t="s">
        <v>18</v>
      </c>
      <c r="J22" t="s">
        <v>19</v>
      </c>
      <c r="K22">
        <v>1956</v>
      </c>
      <c r="L22" t="s">
        <v>20</v>
      </c>
      <c r="M22" t="s">
        <v>21</v>
      </c>
      <c r="N22" t="s">
        <v>28</v>
      </c>
      <c r="O22" t="s">
        <v>74</v>
      </c>
    </row>
    <row r="23" spans="1:15" x14ac:dyDescent="0.75">
      <c r="A23" s="1">
        <v>44621</v>
      </c>
      <c r="B23">
        <v>22994</v>
      </c>
      <c r="C23" t="s">
        <v>75</v>
      </c>
      <c r="D23" t="s">
        <v>16</v>
      </c>
      <c r="E23">
        <f>SUM(K23-1902)</f>
        <v>22</v>
      </c>
      <c r="H23" t="s">
        <v>17</v>
      </c>
      <c r="I23" t="s">
        <v>18</v>
      </c>
      <c r="J23" t="s">
        <v>54</v>
      </c>
      <c r="K23">
        <v>1924</v>
      </c>
      <c r="L23" t="s">
        <v>20</v>
      </c>
      <c r="M23" t="s">
        <v>55</v>
      </c>
      <c r="N23" t="s">
        <v>76</v>
      </c>
      <c r="O23" t="s">
        <v>77</v>
      </c>
    </row>
    <row r="24" spans="1:15" x14ac:dyDescent="0.75">
      <c r="A24" s="1">
        <v>44622</v>
      </c>
      <c r="B24">
        <v>22994</v>
      </c>
      <c r="C24" t="s">
        <v>75</v>
      </c>
      <c r="D24" t="s">
        <v>16</v>
      </c>
      <c r="E24">
        <f>SUM(K24-1902)</f>
        <v>22</v>
      </c>
      <c r="H24" t="s">
        <v>17</v>
      </c>
      <c r="I24" t="s">
        <v>18</v>
      </c>
      <c r="J24" t="s">
        <v>54</v>
      </c>
      <c r="K24">
        <v>1924</v>
      </c>
      <c r="L24" t="s">
        <v>20</v>
      </c>
      <c r="M24" t="s">
        <v>55</v>
      </c>
      <c r="N24" t="s">
        <v>76</v>
      </c>
      <c r="O24" t="s">
        <v>78</v>
      </c>
    </row>
    <row r="25" spans="1:15" x14ac:dyDescent="0.75">
      <c r="A25" s="1">
        <v>46432</v>
      </c>
      <c r="B25">
        <v>23949</v>
      </c>
      <c r="C25" t="s">
        <v>79</v>
      </c>
      <c r="D25" t="s">
        <v>16</v>
      </c>
      <c r="E25">
        <f>SUM((K25-1931)-1)</f>
        <v>24</v>
      </c>
      <c r="H25" t="s">
        <v>17</v>
      </c>
      <c r="I25" t="s">
        <v>18</v>
      </c>
      <c r="J25" t="s">
        <v>19</v>
      </c>
      <c r="K25">
        <v>1956</v>
      </c>
      <c r="L25" t="s">
        <v>20</v>
      </c>
      <c r="M25" t="s">
        <v>21</v>
      </c>
      <c r="N25" t="s">
        <v>51</v>
      </c>
      <c r="O25" t="s">
        <v>52</v>
      </c>
    </row>
    <row r="26" spans="1:15" x14ac:dyDescent="0.75">
      <c r="A26" s="1">
        <v>49259</v>
      </c>
      <c r="B26">
        <v>25368</v>
      </c>
      <c r="C26" t="s">
        <v>80</v>
      </c>
      <c r="D26" t="s">
        <v>16</v>
      </c>
      <c r="E26">
        <f>SUM(K26-1928)</f>
        <v>28</v>
      </c>
      <c r="H26" t="s">
        <v>17</v>
      </c>
      <c r="I26" t="s">
        <v>18</v>
      </c>
      <c r="J26" t="s">
        <v>19</v>
      </c>
      <c r="K26">
        <v>1956</v>
      </c>
      <c r="L26" t="s">
        <v>20</v>
      </c>
      <c r="M26" t="s">
        <v>21</v>
      </c>
      <c r="N26" t="s">
        <v>81</v>
      </c>
      <c r="O26" t="s">
        <v>82</v>
      </c>
    </row>
    <row r="27" spans="1:15" x14ac:dyDescent="0.75">
      <c r="A27" s="1">
        <v>49595</v>
      </c>
      <c r="B27">
        <v>25550</v>
      </c>
      <c r="C27" t="s">
        <v>83</v>
      </c>
      <c r="D27" t="s">
        <v>73</v>
      </c>
      <c r="E27">
        <f t="shared" ref="E2:E65" si="1">SUM(K27-1909)</f>
        <v>19</v>
      </c>
      <c r="H27" t="s">
        <v>17</v>
      </c>
      <c r="I27" t="s">
        <v>18</v>
      </c>
      <c r="J27" t="s">
        <v>84</v>
      </c>
      <c r="K27">
        <v>1928</v>
      </c>
      <c r="L27" t="s">
        <v>20</v>
      </c>
      <c r="M27" t="s">
        <v>85</v>
      </c>
      <c r="N27" t="s">
        <v>86</v>
      </c>
      <c r="O27" t="s">
        <v>87</v>
      </c>
    </row>
    <row r="28" spans="1:15" x14ac:dyDescent="0.75">
      <c r="A28" s="1">
        <v>49596</v>
      </c>
      <c r="B28">
        <v>25550</v>
      </c>
      <c r="C28" t="s">
        <v>83</v>
      </c>
      <c r="D28" t="s">
        <v>73</v>
      </c>
      <c r="E28">
        <f t="shared" si="1"/>
        <v>19</v>
      </c>
      <c r="H28" t="s">
        <v>17</v>
      </c>
      <c r="I28" t="s">
        <v>18</v>
      </c>
      <c r="J28" t="s">
        <v>84</v>
      </c>
      <c r="K28">
        <v>1928</v>
      </c>
      <c r="L28" t="s">
        <v>20</v>
      </c>
      <c r="M28" t="s">
        <v>85</v>
      </c>
      <c r="N28" t="s">
        <v>86</v>
      </c>
      <c r="O28" t="s">
        <v>88</v>
      </c>
    </row>
    <row r="29" spans="1:15" x14ac:dyDescent="0.75">
      <c r="A29" s="1">
        <v>49789</v>
      </c>
      <c r="B29">
        <v>25653</v>
      </c>
      <c r="C29" t="s">
        <v>89</v>
      </c>
      <c r="D29" t="s">
        <v>16</v>
      </c>
      <c r="E29">
        <f>SUM((K29-1931)-1)</f>
        <v>24</v>
      </c>
      <c r="H29" t="s">
        <v>17</v>
      </c>
      <c r="I29" t="s">
        <v>18</v>
      </c>
      <c r="J29" t="s">
        <v>19</v>
      </c>
      <c r="K29">
        <v>1956</v>
      </c>
      <c r="L29" t="s">
        <v>20</v>
      </c>
      <c r="M29" t="s">
        <v>21</v>
      </c>
      <c r="N29" t="s">
        <v>90</v>
      </c>
      <c r="O29" t="s">
        <v>91</v>
      </c>
    </row>
    <row r="30" spans="1:15" x14ac:dyDescent="0.75">
      <c r="A30" s="1">
        <v>56759</v>
      </c>
      <c r="B30">
        <v>29081</v>
      </c>
      <c r="C30" t="s">
        <v>92</v>
      </c>
      <c r="D30" t="s">
        <v>16</v>
      </c>
      <c r="E30">
        <f>SUM((K30-1914)-1)</f>
        <v>33</v>
      </c>
      <c r="H30" t="s">
        <v>17</v>
      </c>
      <c r="I30" t="s">
        <v>18</v>
      </c>
      <c r="J30" t="s">
        <v>31</v>
      </c>
      <c r="K30">
        <v>1948</v>
      </c>
      <c r="L30" t="s">
        <v>20</v>
      </c>
      <c r="M30" t="s">
        <v>32</v>
      </c>
      <c r="N30" t="s">
        <v>93</v>
      </c>
      <c r="O30" t="s">
        <v>94</v>
      </c>
    </row>
    <row r="31" spans="1:15" x14ac:dyDescent="0.75">
      <c r="A31" s="1">
        <v>60559</v>
      </c>
      <c r="B31">
        <v>31016</v>
      </c>
      <c r="C31" t="s">
        <v>95</v>
      </c>
      <c r="D31" t="s">
        <v>16</v>
      </c>
      <c r="E31">
        <f>SUM(K31-1928)</f>
        <v>28</v>
      </c>
      <c r="H31" t="s">
        <v>17</v>
      </c>
      <c r="I31" t="s">
        <v>18</v>
      </c>
      <c r="J31" t="s">
        <v>19</v>
      </c>
      <c r="K31">
        <v>1956</v>
      </c>
      <c r="L31" t="s">
        <v>20</v>
      </c>
      <c r="M31" t="s">
        <v>21</v>
      </c>
      <c r="N31" t="s">
        <v>64</v>
      </c>
      <c r="O31" t="s">
        <v>65</v>
      </c>
    </row>
    <row r="32" spans="1:15" x14ac:dyDescent="0.75">
      <c r="A32" s="1">
        <v>65323</v>
      </c>
      <c r="B32">
        <v>33429</v>
      </c>
      <c r="C32" t="s">
        <v>96</v>
      </c>
      <c r="D32" t="s">
        <v>73</v>
      </c>
      <c r="E32">
        <f>SUM(K32-1940)</f>
        <v>16</v>
      </c>
      <c r="H32" t="s">
        <v>17</v>
      </c>
      <c r="I32" t="s">
        <v>18</v>
      </c>
      <c r="J32" t="s">
        <v>19</v>
      </c>
      <c r="K32">
        <v>1956</v>
      </c>
      <c r="L32" t="s">
        <v>20</v>
      </c>
      <c r="M32" t="s">
        <v>21</v>
      </c>
      <c r="N32" t="s">
        <v>86</v>
      </c>
      <c r="O32" t="s">
        <v>97</v>
      </c>
    </row>
    <row r="33" spans="1:16" x14ac:dyDescent="0.75">
      <c r="A33" s="1">
        <v>71131</v>
      </c>
      <c r="B33">
        <v>36225</v>
      </c>
      <c r="C33" t="s">
        <v>98</v>
      </c>
      <c r="D33" t="s">
        <v>16</v>
      </c>
      <c r="E33">
        <f>SUM(K33-1903)</f>
        <v>25</v>
      </c>
      <c r="H33" t="s">
        <v>17</v>
      </c>
      <c r="I33" t="s">
        <v>18</v>
      </c>
      <c r="J33" t="s">
        <v>84</v>
      </c>
      <c r="K33">
        <v>1928</v>
      </c>
      <c r="L33" t="s">
        <v>20</v>
      </c>
      <c r="M33" t="s">
        <v>85</v>
      </c>
      <c r="N33" t="s">
        <v>90</v>
      </c>
      <c r="O33" t="s">
        <v>99</v>
      </c>
    </row>
    <row r="34" spans="1:16" x14ac:dyDescent="0.75">
      <c r="A34" s="1">
        <v>72441</v>
      </c>
      <c r="B34">
        <v>36851</v>
      </c>
      <c r="C34" t="s">
        <v>100</v>
      </c>
      <c r="D34" t="s">
        <v>73</v>
      </c>
      <c r="E34">
        <f t="shared" ref="E34:E37" si="2">SUM(K34-1928)</f>
        <v>28</v>
      </c>
      <c r="H34" t="s">
        <v>17</v>
      </c>
      <c r="I34" t="s">
        <v>18</v>
      </c>
      <c r="J34" t="s">
        <v>19</v>
      </c>
      <c r="K34">
        <v>1956</v>
      </c>
      <c r="L34" t="s">
        <v>20</v>
      </c>
      <c r="M34" t="s">
        <v>21</v>
      </c>
      <c r="N34" t="s">
        <v>41</v>
      </c>
      <c r="O34" t="s">
        <v>101</v>
      </c>
    </row>
    <row r="35" spans="1:16" x14ac:dyDescent="0.75">
      <c r="A35" s="1">
        <v>72442</v>
      </c>
      <c r="B35">
        <v>36851</v>
      </c>
      <c r="C35" t="s">
        <v>100</v>
      </c>
      <c r="D35" t="s">
        <v>73</v>
      </c>
      <c r="E35">
        <f t="shared" si="2"/>
        <v>28</v>
      </c>
      <c r="H35" t="s">
        <v>17</v>
      </c>
      <c r="I35" t="s">
        <v>18</v>
      </c>
      <c r="J35" t="s">
        <v>19</v>
      </c>
      <c r="K35">
        <v>1956</v>
      </c>
      <c r="L35" t="s">
        <v>20</v>
      </c>
      <c r="M35" t="s">
        <v>21</v>
      </c>
      <c r="N35" t="s">
        <v>41</v>
      </c>
      <c r="O35" t="s">
        <v>102</v>
      </c>
    </row>
    <row r="36" spans="1:16" x14ac:dyDescent="0.75">
      <c r="A36" s="1">
        <v>72443</v>
      </c>
      <c r="B36">
        <v>36851</v>
      </c>
      <c r="C36" t="s">
        <v>100</v>
      </c>
      <c r="D36" t="s">
        <v>73</v>
      </c>
      <c r="E36">
        <f t="shared" si="2"/>
        <v>28</v>
      </c>
      <c r="H36" t="s">
        <v>17</v>
      </c>
      <c r="I36" t="s">
        <v>18</v>
      </c>
      <c r="J36" t="s">
        <v>19</v>
      </c>
      <c r="K36">
        <v>1956</v>
      </c>
      <c r="L36" t="s">
        <v>20</v>
      </c>
      <c r="M36" t="s">
        <v>21</v>
      </c>
      <c r="N36" t="s">
        <v>41</v>
      </c>
      <c r="O36" t="s">
        <v>103</v>
      </c>
    </row>
    <row r="37" spans="1:16" x14ac:dyDescent="0.75">
      <c r="A37" s="1">
        <v>72444</v>
      </c>
      <c r="B37">
        <v>36851</v>
      </c>
      <c r="C37" t="s">
        <v>100</v>
      </c>
      <c r="D37" t="s">
        <v>73</v>
      </c>
      <c r="E37">
        <f t="shared" si="2"/>
        <v>28</v>
      </c>
      <c r="H37" t="s">
        <v>17</v>
      </c>
      <c r="I37" t="s">
        <v>18</v>
      </c>
      <c r="J37" t="s">
        <v>19</v>
      </c>
      <c r="K37">
        <v>1956</v>
      </c>
      <c r="L37" t="s">
        <v>20</v>
      </c>
      <c r="M37" t="s">
        <v>21</v>
      </c>
      <c r="N37" t="s">
        <v>41</v>
      </c>
      <c r="O37" t="s">
        <v>104</v>
      </c>
    </row>
    <row r="38" spans="1:16" x14ac:dyDescent="0.75">
      <c r="A38" s="1">
        <v>72445</v>
      </c>
      <c r="B38">
        <v>36851</v>
      </c>
      <c r="C38" t="s">
        <v>100</v>
      </c>
      <c r="D38" t="s">
        <v>73</v>
      </c>
      <c r="E38">
        <f>SUM(K38-1928)</f>
        <v>28</v>
      </c>
      <c r="H38" t="s">
        <v>17</v>
      </c>
      <c r="I38" t="s">
        <v>18</v>
      </c>
      <c r="J38" t="s">
        <v>19</v>
      </c>
      <c r="K38">
        <v>1956</v>
      </c>
      <c r="L38" t="s">
        <v>20</v>
      </c>
      <c r="M38" t="s">
        <v>21</v>
      </c>
      <c r="N38" t="s">
        <v>41</v>
      </c>
      <c r="O38" t="s">
        <v>105</v>
      </c>
    </row>
    <row r="39" spans="1:16" x14ac:dyDescent="0.75">
      <c r="A39" s="1">
        <v>76580</v>
      </c>
      <c r="B39">
        <v>38866</v>
      </c>
      <c r="C39" t="s">
        <v>106</v>
      </c>
      <c r="D39" t="s">
        <v>16</v>
      </c>
      <c r="E39">
        <f>SUM(K39-1938)</f>
        <v>18</v>
      </c>
      <c r="H39" t="s">
        <v>17</v>
      </c>
      <c r="I39" t="s">
        <v>18</v>
      </c>
      <c r="J39" t="s">
        <v>19</v>
      </c>
      <c r="K39">
        <v>1956</v>
      </c>
      <c r="L39" t="s">
        <v>20</v>
      </c>
      <c r="M39" t="s">
        <v>21</v>
      </c>
      <c r="N39" t="s">
        <v>86</v>
      </c>
      <c r="O39" t="s">
        <v>107</v>
      </c>
    </row>
    <row r="40" spans="1:16" x14ac:dyDescent="0.75">
      <c r="A40" s="1">
        <v>76581</v>
      </c>
      <c r="B40">
        <v>38866</v>
      </c>
      <c r="C40" t="s">
        <v>106</v>
      </c>
      <c r="D40" t="s">
        <v>16</v>
      </c>
      <c r="E40">
        <f>SUM(K40-1938)</f>
        <v>18</v>
      </c>
      <c r="H40" t="s">
        <v>17</v>
      </c>
      <c r="I40" t="s">
        <v>18</v>
      </c>
      <c r="J40" t="s">
        <v>19</v>
      </c>
      <c r="K40">
        <v>1956</v>
      </c>
      <c r="L40" t="s">
        <v>20</v>
      </c>
      <c r="M40" t="s">
        <v>21</v>
      </c>
      <c r="N40" t="s">
        <v>86</v>
      </c>
      <c r="O40" t="s">
        <v>108</v>
      </c>
      <c r="P40" t="s">
        <v>109</v>
      </c>
    </row>
    <row r="41" spans="1:16" x14ac:dyDescent="0.75">
      <c r="A41" s="1">
        <v>82867</v>
      </c>
      <c r="B41">
        <v>42092</v>
      </c>
      <c r="C41" t="s">
        <v>110</v>
      </c>
      <c r="D41" t="s">
        <v>16</v>
      </c>
      <c r="E41">
        <f t="shared" ref="E41:E47" si="3">SUM(K41-1937)</f>
        <v>19</v>
      </c>
      <c r="H41" t="s">
        <v>17</v>
      </c>
      <c r="I41" t="s">
        <v>18</v>
      </c>
      <c r="J41" t="s">
        <v>19</v>
      </c>
      <c r="K41">
        <v>1956</v>
      </c>
      <c r="L41" t="s">
        <v>20</v>
      </c>
      <c r="M41" t="s">
        <v>21</v>
      </c>
      <c r="N41" t="s">
        <v>41</v>
      </c>
      <c r="O41" t="s">
        <v>42</v>
      </c>
    </row>
    <row r="42" spans="1:16" x14ac:dyDescent="0.75">
      <c r="A42" s="1">
        <v>82868</v>
      </c>
      <c r="B42">
        <v>42092</v>
      </c>
      <c r="C42" t="s">
        <v>110</v>
      </c>
      <c r="D42" t="s">
        <v>16</v>
      </c>
      <c r="E42">
        <f t="shared" si="3"/>
        <v>19</v>
      </c>
      <c r="H42" t="s">
        <v>17</v>
      </c>
      <c r="I42" t="s">
        <v>18</v>
      </c>
      <c r="J42" t="s">
        <v>19</v>
      </c>
      <c r="K42">
        <v>1956</v>
      </c>
      <c r="L42" t="s">
        <v>20</v>
      </c>
      <c r="M42" t="s">
        <v>21</v>
      </c>
      <c r="N42" t="s">
        <v>41</v>
      </c>
      <c r="O42" t="s">
        <v>43</v>
      </c>
    </row>
    <row r="43" spans="1:16" x14ac:dyDescent="0.75">
      <c r="A43" s="1">
        <v>82869</v>
      </c>
      <c r="B43">
        <v>42092</v>
      </c>
      <c r="C43" t="s">
        <v>110</v>
      </c>
      <c r="D43" t="s">
        <v>16</v>
      </c>
      <c r="E43">
        <f t="shared" si="3"/>
        <v>19</v>
      </c>
      <c r="H43" t="s">
        <v>17</v>
      </c>
      <c r="I43" t="s">
        <v>18</v>
      </c>
      <c r="J43" t="s">
        <v>19</v>
      </c>
      <c r="K43">
        <v>1956</v>
      </c>
      <c r="L43" t="s">
        <v>20</v>
      </c>
      <c r="M43" t="s">
        <v>21</v>
      </c>
      <c r="N43" t="s">
        <v>41</v>
      </c>
      <c r="O43" t="s">
        <v>44</v>
      </c>
    </row>
    <row r="44" spans="1:16" x14ac:dyDescent="0.75">
      <c r="A44" s="1">
        <v>82870</v>
      </c>
      <c r="B44">
        <v>42092</v>
      </c>
      <c r="C44" t="s">
        <v>110</v>
      </c>
      <c r="D44" t="s">
        <v>16</v>
      </c>
      <c r="E44">
        <f t="shared" si="3"/>
        <v>19</v>
      </c>
      <c r="H44" t="s">
        <v>17</v>
      </c>
      <c r="I44" t="s">
        <v>18</v>
      </c>
      <c r="J44" t="s">
        <v>19</v>
      </c>
      <c r="K44">
        <v>1956</v>
      </c>
      <c r="L44" t="s">
        <v>20</v>
      </c>
      <c r="M44" t="s">
        <v>21</v>
      </c>
      <c r="N44" t="s">
        <v>41</v>
      </c>
      <c r="O44" t="s">
        <v>45</v>
      </c>
    </row>
    <row r="45" spans="1:16" x14ac:dyDescent="0.75">
      <c r="A45" s="1">
        <v>82871</v>
      </c>
      <c r="B45">
        <v>42092</v>
      </c>
      <c r="C45" t="s">
        <v>110</v>
      </c>
      <c r="D45" t="s">
        <v>16</v>
      </c>
      <c r="E45">
        <f t="shared" si="3"/>
        <v>19</v>
      </c>
      <c r="H45" t="s">
        <v>17</v>
      </c>
      <c r="I45" t="s">
        <v>18</v>
      </c>
      <c r="J45" t="s">
        <v>19</v>
      </c>
      <c r="K45">
        <v>1956</v>
      </c>
      <c r="L45" t="s">
        <v>20</v>
      </c>
      <c r="M45" t="s">
        <v>21</v>
      </c>
      <c r="N45" t="s">
        <v>41</v>
      </c>
      <c r="O45" t="s">
        <v>46</v>
      </c>
    </row>
    <row r="46" spans="1:16" x14ac:dyDescent="0.75">
      <c r="A46" s="1">
        <v>82872</v>
      </c>
      <c r="B46">
        <v>42092</v>
      </c>
      <c r="C46" t="s">
        <v>110</v>
      </c>
      <c r="D46" t="s">
        <v>16</v>
      </c>
      <c r="E46">
        <f t="shared" si="3"/>
        <v>19</v>
      </c>
      <c r="H46" t="s">
        <v>17</v>
      </c>
      <c r="I46" t="s">
        <v>18</v>
      </c>
      <c r="J46" t="s">
        <v>19</v>
      </c>
      <c r="K46">
        <v>1956</v>
      </c>
      <c r="L46" t="s">
        <v>20</v>
      </c>
      <c r="M46" t="s">
        <v>21</v>
      </c>
      <c r="N46" t="s">
        <v>41</v>
      </c>
      <c r="O46" t="s">
        <v>47</v>
      </c>
    </row>
    <row r="47" spans="1:16" x14ac:dyDescent="0.75">
      <c r="A47" s="1">
        <v>82873</v>
      </c>
      <c r="B47">
        <v>42092</v>
      </c>
      <c r="C47" t="s">
        <v>110</v>
      </c>
      <c r="D47" t="s">
        <v>16</v>
      </c>
      <c r="E47">
        <f t="shared" si="3"/>
        <v>19</v>
      </c>
      <c r="H47" t="s">
        <v>17</v>
      </c>
      <c r="I47" t="s">
        <v>18</v>
      </c>
      <c r="J47" t="s">
        <v>19</v>
      </c>
      <c r="K47">
        <v>1956</v>
      </c>
      <c r="L47" t="s">
        <v>20</v>
      </c>
      <c r="M47" t="s">
        <v>21</v>
      </c>
      <c r="N47" t="s">
        <v>41</v>
      </c>
      <c r="O47" t="s">
        <v>48</v>
      </c>
    </row>
    <row r="48" spans="1:16" x14ac:dyDescent="0.75">
      <c r="A48" s="1">
        <v>82874</v>
      </c>
      <c r="B48">
        <v>42092</v>
      </c>
      <c r="C48" t="s">
        <v>110</v>
      </c>
      <c r="D48" t="s">
        <v>16</v>
      </c>
      <c r="E48">
        <f>SUM(K48-1937)</f>
        <v>19</v>
      </c>
      <c r="H48" t="s">
        <v>17</v>
      </c>
      <c r="I48" t="s">
        <v>18</v>
      </c>
      <c r="J48" t="s">
        <v>19</v>
      </c>
      <c r="K48">
        <v>1956</v>
      </c>
      <c r="L48" t="s">
        <v>20</v>
      </c>
      <c r="M48" t="s">
        <v>21</v>
      </c>
      <c r="N48" t="s">
        <v>41</v>
      </c>
      <c r="O48" t="s">
        <v>49</v>
      </c>
    </row>
    <row r="49" spans="1:16" x14ac:dyDescent="0.75">
      <c r="A49" s="1">
        <v>83436</v>
      </c>
      <c r="B49">
        <v>42392</v>
      </c>
      <c r="C49" t="s">
        <v>111</v>
      </c>
      <c r="D49" t="s">
        <v>16</v>
      </c>
      <c r="E49">
        <f>SUM(K49-1931)</f>
        <v>25</v>
      </c>
      <c r="H49" t="s">
        <v>17</v>
      </c>
      <c r="I49" t="s">
        <v>18</v>
      </c>
      <c r="J49" t="s">
        <v>19</v>
      </c>
      <c r="K49">
        <v>1956</v>
      </c>
      <c r="L49" t="s">
        <v>20</v>
      </c>
      <c r="M49" t="s">
        <v>21</v>
      </c>
      <c r="N49" t="s">
        <v>90</v>
      </c>
      <c r="O49" t="s">
        <v>112</v>
      </c>
    </row>
    <row r="50" spans="1:16" x14ac:dyDescent="0.75">
      <c r="A50" s="1">
        <v>89332</v>
      </c>
      <c r="B50">
        <v>45281</v>
      </c>
      <c r="C50" t="s">
        <v>113</v>
      </c>
      <c r="D50" t="s">
        <v>16</v>
      </c>
      <c r="E50">
        <f>SUM((K50-1939)-1)</f>
        <v>16</v>
      </c>
      <c r="H50" t="s">
        <v>17</v>
      </c>
      <c r="I50" t="s">
        <v>18</v>
      </c>
      <c r="J50" t="s">
        <v>19</v>
      </c>
      <c r="K50">
        <v>1956</v>
      </c>
      <c r="L50" t="s">
        <v>20</v>
      </c>
      <c r="M50" t="s">
        <v>21</v>
      </c>
      <c r="N50" t="s">
        <v>86</v>
      </c>
      <c r="O50" t="s">
        <v>108</v>
      </c>
      <c r="P50" t="s">
        <v>109</v>
      </c>
    </row>
    <row r="51" spans="1:16" x14ac:dyDescent="0.75">
      <c r="A51" s="1">
        <v>90778</v>
      </c>
      <c r="B51">
        <v>45993</v>
      </c>
      <c r="C51" t="s">
        <v>114</v>
      </c>
      <c r="D51" t="s">
        <v>16</v>
      </c>
      <c r="E51">
        <f>SUM((K51-1929)-1)</f>
        <v>26</v>
      </c>
      <c r="H51" t="s">
        <v>17</v>
      </c>
      <c r="I51" t="s">
        <v>18</v>
      </c>
      <c r="J51" t="s">
        <v>19</v>
      </c>
      <c r="K51">
        <v>1956</v>
      </c>
      <c r="L51" t="s">
        <v>20</v>
      </c>
      <c r="M51" t="s">
        <v>21</v>
      </c>
      <c r="N51" t="s">
        <v>51</v>
      </c>
      <c r="O51" t="s">
        <v>115</v>
      </c>
    </row>
    <row r="52" spans="1:16" x14ac:dyDescent="0.75">
      <c r="A52" s="1">
        <v>91008</v>
      </c>
      <c r="B52">
        <v>46112</v>
      </c>
      <c r="C52" t="s">
        <v>116</v>
      </c>
      <c r="D52" t="s">
        <v>16</v>
      </c>
      <c r="E52">
        <f>SUM(K52-1927)</f>
        <v>29</v>
      </c>
      <c r="F52">
        <v>185</v>
      </c>
      <c r="G52">
        <v>70</v>
      </c>
      <c r="H52" t="s">
        <v>17</v>
      </c>
      <c r="I52" t="s">
        <v>18</v>
      </c>
      <c r="J52" t="s">
        <v>19</v>
      </c>
      <c r="K52">
        <v>1956</v>
      </c>
      <c r="L52" t="s">
        <v>20</v>
      </c>
      <c r="M52" t="s">
        <v>21</v>
      </c>
      <c r="N52" t="s">
        <v>28</v>
      </c>
      <c r="O52" t="s">
        <v>117</v>
      </c>
    </row>
    <row r="53" spans="1:16" x14ac:dyDescent="0.75">
      <c r="A53" s="1">
        <v>91009</v>
      </c>
      <c r="B53">
        <v>46112</v>
      </c>
      <c r="C53" t="s">
        <v>116</v>
      </c>
      <c r="D53" t="s">
        <v>16</v>
      </c>
      <c r="E53">
        <f>SUM(K53-1927)</f>
        <v>29</v>
      </c>
      <c r="F53">
        <v>185</v>
      </c>
      <c r="G53">
        <v>70</v>
      </c>
      <c r="H53" t="s">
        <v>17</v>
      </c>
      <c r="I53" t="s">
        <v>18</v>
      </c>
      <c r="J53" t="s">
        <v>19</v>
      </c>
      <c r="K53">
        <v>1956</v>
      </c>
      <c r="L53" t="s">
        <v>20</v>
      </c>
      <c r="M53" t="s">
        <v>21</v>
      </c>
      <c r="N53" t="s">
        <v>28</v>
      </c>
      <c r="O53" t="s">
        <v>118</v>
      </c>
    </row>
    <row r="54" spans="1:16" x14ac:dyDescent="0.75">
      <c r="A54" s="1">
        <v>91071</v>
      </c>
      <c r="B54">
        <v>46150</v>
      </c>
      <c r="C54" t="s">
        <v>119</v>
      </c>
      <c r="D54" t="s">
        <v>16</v>
      </c>
      <c r="E54">
        <f>SUM(K54-1916)</f>
        <v>32</v>
      </c>
      <c r="H54" t="s">
        <v>17</v>
      </c>
      <c r="I54" t="s">
        <v>18</v>
      </c>
      <c r="J54" t="s">
        <v>31</v>
      </c>
      <c r="K54">
        <v>1948</v>
      </c>
      <c r="L54" t="s">
        <v>20</v>
      </c>
      <c r="M54" t="s">
        <v>32</v>
      </c>
      <c r="N54" t="s">
        <v>90</v>
      </c>
      <c r="O54" t="s">
        <v>120</v>
      </c>
    </row>
    <row r="55" spans="1:16" x14ac:dyDescent="0.75">
      <c r="A55" s="1">
        <v>92382</v>
      </c>
      <c r="B55">
        <v>46793</v>
      </c>
      <c r="C55" t="s">
        <v>121</v>
      </c>
      <c r="D55" t="s">
        <v>16</v>
      </c>
      <c r="E55">
        <f t="shared" ref="E55:E56" si="4">SUM(K55-1893)</f>
        <v>27</v>
      </c>
      <c r="F55">
        <v>178</v>
      </c>
      <c r="H55" t="s">
        <v>17</v>
      </c>
      <c r="I55" t="s">
        <v>18</v>
      </c>
      <c r="J55" t="s">
        <v>122</v>
      </c>
      <c r="K55">
        <v>1920</v>
      </c>
      <c r="L55" t="s">
        <v>20</v>
      </c>
      <c r="M55" t="s">
        <v>123</v>
      </c>
      <c r="N55" t="s">
        <v>86</v>
      </c>
      <c r="O55" t="s">
        <v>124</v>
      </c>
    </row>
    <row r="56" spans="1:16" x14ac:dyDescent="0.75">
      <c r="A56" s="1">
        <v>92383</v>
      </c>
      <c r="B56">
        <v>46793</v>
      </c>
      <c r="C56" t="s">
        <v>121</v>
      </c>
      <c r="D56" t="s">
        <v>16</v>
      </c>
      <c r="E56">
        <f t="shared" si="4"/>
        <v>27</v>
      </c>
      <c r="F56">
        <v>178</v>
      </c>
      <c r="H56" t="s">
        <v>17</v>
      </c>
      <c r="I56" t="s">
        <v>18</v>
      </c>
      <c r="J56" t="s">
        <v>122</v>
      </c>
      <c r="K56">
        <v>1920</v>
      </c>
      <c r="L56" t="s">
        <v>20</v>
      </c>
      <c r="M56" t="s">
        <v>123</v>
      </c>
      <c r="N56" t="s">
        <v>86</v>
      </c>
      <c r="O56" t="s">
        <v>125</v>
      </c>
    </row>
    <row r="57" spans="1:16" x14ac:dyDescent="0.75">
      <c r="A57" s="1">
        <v>92384</v>
      </c>
      <c r="B57">
        <v>46793</v>
      </c>
      <c r="C57" t="s">
        <v>121</v>
      </c>
      <c r="D57" t="s">
        <v>16</v>
      </c>
      <c r="E57">
        <f>SUM(K57-1893)</f>
        <v>27</v>
      </c>
      <c r="F57">
        <v>178</v>
      </c>
      <c r="H57" t="s">
        <v>17</v>
      </c>
      <c r="I57" t="s">
        <v>18</v>
      </c>
      <c r="J57" t="s">
        <v>122</v>
      </c>
      <c r="K57">
        <v>1920</v>
      </c>
      <c r="L57" t="s">
        <v>20</v>
      </c>
      <c r="M57" t="s">
        <v>123</v>
      </c>
      <c r="N57" t="s">
        <v>86</v>
      </c>
      <c r="O57" t="s">
        <v>108</v>
      </c>
      <c r="P57" t="s">
        <v>126</v>
      </c>
    </row>
    <row r="58" spans="1:16" x14ac:dyDescent="0.75">
      <c r="A58" s="1">
        <v>92538</v>
      </c>
      <c r="B58">
        <v>46874</v>
      </c>
      <c r="C58" t="s">
        <v>127</v>
      </c>
      <c r="D58" t="s">
        <v>16</v>
      </c>
      <c r="E58">
        <f>SUM(K58-1938)</f>
        <v>18</v>
      </c>
      <c r="H58" t="s">
        <v>17</v>
      </c>
      <c r="I58" t="s">
        <v>18</v>
      </c>
      <c r="J58" t="s">
        <v>19</v>
      </c>
      <c r="K58">
        <v>1956</v>
      </c>
      <c r="L58" t="s">
        <v>20</v>
      </c>
      <c r="M58" t="s">
        <v>21</v>
      </c>
      <c r="N58" t="s">
        <v>86</v>
      </c>
      <c r="O58" t="s">
        <v>128</v>
      </c>
    </row>
    <row r="59" spans="1:16" x14ac:dyDescent="0.75">
      <c r="A59" s="1">
        <v>99429</v>
      </c>
      <c r="B59">
        <v>50326</v>
      </c>
      <c r="C59" t="s">
        <v>129</v>
      </c>
      <c r="D59" t="s">
        <v>73</v>
      </c>
      <c r="E59">
        <f>SUM(K59-1938)</f>
        <v>18</v>
      </c>
      <c r="H59" t="s">
        <v>17</v>
      </c>
      <c r="I59" t="s">
        <v>18</v>
      </c>
      <c r="J59" t="s">
        <v>19</v>
      </c>
      <c r="K59">
        <v>1956</v>
      </c>
      <c r="L59" t="s">
        <v>20</v>
      </c>
      <c r="M59" t="s">
        <v>21</v>
      </c>
      <c r="N59" t="s">
        <v>130</v>
      </c>
      <c r="O59" t="s">
        <v>131</v>
      </c>
    </row>
    <row r="60" spans="1:16" x14ac:dyDescent="0.75">
      <c r="A60" s="1">
        <v>108827</v>
      </c>
      <c r="B60">
        <v>55040</v>
      </c>
      <c r="C60" t="s">
        <v>132</v>
      </c>
      <c r="D60" t="s">
        <v>16</v>
      </c>
      <c r="E60">
        <f>SUM(K60-1930)</f>
        <v>26</v>
      </c>
      <c r="H60" t="s">
        <v>17</v>
      </c>
      <c r="I60" t="s">
        <v>18</v>
      </c>
      <c r="J60" t="s">
        <v>19</v>
      </c>
      <c r="K60">
        <v>1956</v>
      </c>
      <c r="L60" t="s">
        <v>20</v>
      </c>
      <c r="M60" t="s">
        <v>21</v>
      </c>
      <c r="N60" t="s">
        <v>64</v>
      </c>
      <c r="O60" t="s">
        <v>65</v>
      </c>
    </row>
    <row r="61" spans="1:16" x14ac:dyDescent="0.75">
      <c r="A61" s="1">
        <v>110649</v>
      </c>
      <c r="B61">
        <v>55957</v>
      </c>
      <c r="C61" t="s">
        <v>133</v>
      </c>
      <c r="D61" t="s">
        <v>73</v>
      </c>
      <c r="E61">
        <f>SUM(K61-1934)</f>
        <v>22</v>
      </c>
      <c r="H61" t="s">
        <v>17</v>
      </c>
      <c r="I61" t="s">
        <v>18</v>
      </c>
      <c r="J61" t="s">
        <v>19</v>
      </c>
      <c r="K61">
        <v>1956</v>
      </c>
      <c r="L61" t="s">
        <v>20</v>
      </c>
      <c r="M61" t="s">
        <v>21</v>
      </c>
      <c r="N61" t="s">
        <v>51</v>
      </c>
      <c r="O61" t="s">
        <v>134</v>
      </c>
    </row>
    <row r="62" spans="1:16" x14ac:dyDescent="0.75">
      <c r="A62" s="1">
        <v>115840</v>
      </c>
      <c r="B62">
        <v>58676</v>
      </c>
      <c r="C62" t="s">
        <v>135</v>
      </c>
      <c r="D62" t="s">
        <v>16</v>
      </c>
      <c r="E62">
        <f>SUM(K62-1916)</f>
        <v>20</v>
      </c>
      <c r="F62">
        <v>178</v>
      </c>
      <c r="H62" t="s">
        <v>17</v>
      </c>
      <c r="I62" t="s">
        <v>18</v>
      </c>
      <c r="J62" t="s">
        <v>136</v>
      </c>
      <c r="K62">
        <v>1936</v>
      </c>
      <c r="L62" t="s">
        <v>20</v>
      </c>
      <c r="M62" t="s">
        <v>137</v>
      </c>
      <c r="N62" t="s">
        <v>86</v>
      </c>
      <c r="O62" t="s">
        <v>124</v>
      </c>
    </row>
    <row r="63" spans="1:16" x14ac:dyDescent="0.75">
      <c r="A63" s="1">
        <v>119477</v>
      </c>
      <c r="B63">
        <v>60484</v>
      </c>
      <c r="C63" t="s">
        <v>138</v>
      </c>
      <c r="D63" t="s">
        <v>16</v>
      </c>
      <c r="E63">
        <f>SUM((K63-1897)-1)</f>
        <v>22</v>
      </c>
      <c r="H63" t="s">
        <v>17</v>
      </c>
      <c r="I63" t="s">
        <v>18</v>
      </c>
      <c r="J63" t="s">
        <v>122</v>
      </c>
      <c r="K63">
        <v>1920</v>
      </c>
      <c r="L63" t="s">
        <v>20</v>
      </c>
      <c r="M63" t="s">
        <v>123</v>
      </c>
      <c r="N63" t="s">
        <v>76</v>
      </c>
      <c r="O63" t="s">
        <v>77</v>
      </c>
    </row>
    <row r="64" spans="1:16" x14ac:dyDescent="0.75">
      <c r="A64" s="1">
        <v>119478</v>
      </c>
      <c r="B64">
        <v>60484</v>
      </c>
      <c r="C64" t="s">
        <v>138</v>
      </c>
      <c r="D64" t="s">
        <v>16</v>
      </c>
      <c r="E64">
        <f>SUM((K64-1897)-1)</f>
        <v>22</v>
      </c>
      <c r="H64" t="s">
        <v>17</v>
      </c>
      <c r="I64" t="s">
        <v>18</v>
      </c>
      <c r="J64" t="s">
        <v>122</v>
      </c>
      <c r="K64">
        <v>1920</v>
      </c>
      <c r="L64" t="s">
        <v>20</v>
      </c>
      <c r="M64" t="s">
        <v>123</v>
      </c>
      <c r="N64" t="s">
        <v>76</v>
      </c>
      <c r="O64" t="s">
        <v>78</v>
      </c>
    </row>
    <row r="65" spans="1:15" x14ac:dyDescent="0.75">
      <c r="A65" s="1">
        <v>135641</v>
      </c>
      <c r="B65">
        <v>68249</v>
      </c>
      <c r="C65" t="s">
        <v>139</v>
      </c>
      <c r="D65" t="s">
        <v>16</v>
      </c>
      <c r="E65">
        <f>SUM(K65-1931)</f>
        <v>25</v>
      </c>
      <c r="H65" t="s">
        <v>17</v>
      </c>
      <c r="I65" t="s">
        <v>18</v>
      </c>
      <c r="J65" t="s">
        <v>19</v>
      </c>
      <c r="K65">
        <v>1956</v>
      </c>
      <c r="L65" t="s">
        <v>20</v>
      </c>
      <c r="M65" t="s">
        <v>21</v>
      </c>
      <c r="N65" t="s">
        <v>41</v>
      </c>
      <c r="O65" t="s">
        <v>42</v>
      </c>
    </row>
    <row r="66" spans="1:15" x14ac:dyDescent="0.75">
      <c r="A66" s="1">
        <v>135642</v>
      </c>
      <c r="B66">
        <v>68249</v>
      </c>
      <c r="C66" t="s">
        <v>139</v>
      </c>
      <c r="D66" t="s">
        <v>16</v>
      </c>
      <c r="E66">
        <f t="shared" ref="E66:E71" si="5">SUM(K66-1931)</f>
        <v>25</v>
      </c>
      <c r="H66" t="s">
        <v>17</v>
      </c>
      <c r="I66" t="s">
        <v>18</v>
      </c>
      <c r="J66" t="s">
        <v>19</v>
      </c>
      <c r="K66">
        <v>1956</v>
      </c>
      <c r="L66" t="s">
        <v>20</v>
      </c>
      <c r="M66" t="s">
        <v>21</v>
      </c>
      <c r="N66" t="s">
        <v>41</v>
      </c>
      <c r="O66" t="s">
        <v>43</v>
      </c>
    </row>
    <row r="67" spans="1:15" x14ac:dyDescent="0.75">
      <c r="A67" s="1">
        <v>135643</v>
      </c>
      <c r="B67">
        <v>68249</v>
      </c>
      <c r="C67" t="s">
        <v>139</v>
      </c>
      <c r="D67" t="s">
        <v>16</v>
      </c>
      <c r="E67">
        <f t="shared" si="5"/>
        <v>25</v>
      </c>
      <c r="H67" t="s">
        <v>17</v>
      </c>
      <c r="I67" t="s">
        <v>18</v>
      </c>
      <c r="J67" t="s">
        <v>19</v>
      </c>
      <c r="K67">
        <v>1956</v>
      </c>
      <c r="L67" t="s">
        <v>20</v>
      </c>
      <c r="M67" t="s">
        <v>21</v>
      </c>
      <c r="N67" t="s">
        <v>41</v>
      </c>
      <c r="O67" t="s">
        <v>44</v>
      </c>
    </row>
    <row r="68" spans="1:15" x14ac:dyDescent="0.75">
      <c r="A68" s="1">
        <v>135644</v>
      </c>
      <c r="B68">
        <v>68249</v>
      </c>
      <c r="C68" t="s">
        <v>139</v>
      </c>
      <c r="D68" t="s">
        <v>16</v>
      </c>
      <c r="E68">
        <f t="shared" si="5"/>
        <v>25</v>
      </c>
      <c r="H68" t="s">
        <v>17</v>
      </c>
      <c r="I68" t="s">
        <v>18</v>
      </c>
      <c r="J68" t="s">
        <v>19</v>
      </c>
      <c r="K68">
        <v>1956</v>
      </c>
      <c r="L68" t="s">
        <v>20</v>
      </c>
      <c r="M68" t="s">
        <v>21</v>
      </c>
      <c r="N68" t="s">
        <v>41</v>
      </c>
      <c r="O68" t="s">
        <v>45</v>
      </c>
    </row>
    <row r="69" spans="1:15" x14ac:dyDescent="0.75">
      <c r="A69" s="1">
        <v>135645</v>
      </c>
      <c r="B69">
        <v>68249</v>
      </c>
      <c r="C69" t="s">
        <v>139</v>
      </c>
      <c r="D69" t="s">
        <v>16</v>
      </c>
      <c r="E69">
        <f t="shared" si="5"/>
        <v>25</v>
      </c>
      <c r="H69" t="s">
        <v>17</v>
      </c>
      <c r="I69" t="s">
        <v>18</v>
      </c>
      <c r="J69" t="s">
        <v>19</v>
      </c>
      <c r="K69">
        <v>1956</v>
      </c>
      <c r="L69" t="s">
        <v>20</v>
      </c>
      <c r="M69" t="s">
        <v>21</v>
      </c>
      <c r="N69" t="s">
        <v>41</v>
      </c>
      <c r="O69" t="s">
        <v>46</v>
      </c>
    </row>
    <row r="70" spans="1:15" x14ac:dyDescent="0.75">
      <c r="A70" s="1">
        <v>135646</v>
      </c>
      <c r="B70">
        <v>68249</v>
      </c>
      <c r="C70" t="s">
        <v>139</v>
      </c>
      <c r="D70" t="s">
        <v>16</v>
      </c>
      <c r="E70">
        <f t="shared" si="5"/>
        <v>25</v>
      </c>
      <c r="H70" t="s">
        <v>17</v>
      </c>
      <c r="I70" t="s">
        <v>18</v>
      </c>
      <c r="J70" t="s">
        <v>19</v>
      </c>
      <c r="K70">
        <v>1956</v>
      </c>
      <c r="L70" t="s">
        <v>20</v>
      </c>
      <c r="M70" t="s">
        <v>21</v>
      </c>
      <c r="N70" t="s">
        <v>41</v>
      </c>
      <c r="O70" t="s">
        <v>47</v>
      </c>
    </row>
    <row r="71" spans="1:15" x14ac:dyDescent="0.75">
      <c r="A71" s="1">
        <v>135647</v>
      </c>
      <c r="B71">
        <v>68249</v>
      </c>
      <c r="C71" t="s">
        <v>139</v>
      </c>
      <c r="D71" t="s">
        <v>16</v>
      </c>
      <c r="E71">
        <f t="shared" si="5"/>
        <v>25</v>
      </c>
      <c r="H71" t="s">
        <v>17</v>
      </c>
      <c r="I71" t="s">
        <v>18</v>
      </c>
      <c r="J71" t="s">
        <v>19</v>
      </c>
      <c r="K71">
        <v>1956</v>
      </c>
      <c r="L71" t="s">
        <v>20</v>
      </c>
      <c r="M71" t="s">
        <v>21</v>
      </c>
      <c r="N71" t="s">
        <v>41</v>
      </c>
      <c r="O71" t="s">
        <v>48</v>
      </c>
    </row>
    <row r="72" spans="1:15" x14ac:dyDescent="0.75">
      <c r="A72" s="1">
        <v>135648</v>
      </c>
      <c r="B72">
        <v>68249</v>
      </c>
      <c r="C72" t="s">
        <v>139</v>
      </c>
      <c r="D72" t="s">
        <v>16</v>
      </c>
      <c r="E72">
        <f>SUM(K72-1931)</f>
        <v>25</v>
      </c>
      <c r="H72" t="s">
        <v>17</v>
      </c>
      <c r="I72" t="s">
        <v>18</v>
      </c>
      <c r="J72" t="s">
        <v>19</v>
      </c>
      <c r="K72">
        <v>1956</v>
      </c>
      <c r="L72" t="s">
        <v>20</v>
      </c>
      <c r="M72" t="s">
        <v>21</v>
      </c>
      <c r="N72" t="s">
        <v>41</v>
      </c>
      <c r="O72" t="s">
        <v>49</v>
      </c>
    </row>
    <row r="73" spans="1:15" x14ac:dyDescent="0.75">
      <c r="A73" s="1">
        <v>145126</v>
      </c>
      <c r="B73">
        <v>72839</v>
      </c>
      <c r="C73" t="s">
        <v>140</v>
      </c>
      <c r="D73" t="s">
        <v>73</v>
      </c>
      <c r="E73">
        <f>SUM(K73-1929)</f>
        <v>27</v>
      </c>
      <c r="H73" t="s">
        <v>17</v>
      </c>
      <c r="I73" t="s">
        <v>18</v>
      </c>
      <c r="J73" t="s">
        <v>19</v>
      </c>
      <c r="K73">
        <v>1956</v>
      </c>
      <c r="L73" t="s">
        <v>20</v>
      </c>
      <c r="M73" t="s">
        <v>21</v>
      </c>
      <c r="N73" t="s">
        <v>130</v>
      </c>
      <c r="O73" t="s">
        <v>131</v>
      </c>
    </row>
    <row r="74" spans="1:15" x14ac:dyDescent="0.75">
      <c r="A74" s="1">
        <v>145127</v>
      </c>
      <c r="B74">
        <v>72839</v>
      </c>
      <c r="C74" t="s">
        <v>140</v>
      </c>
      <c r="D74" t="s">
        <v>73</v>
      </c>
      <c r="E74">
        <f>SUM(K74-1929)</f>
        <v>27</v>
      </c>
      <c r="H74" t="s">
        <v>17</v>
      </c>
      <c r="I74" t="s">
        <v>18</v>
      </c>
      <c r="J74" t="s">
        <v>19</v>
      </c>
      <c r="K74">
        <v>1956</v>
      </c>
      <c r="L74" t="s">
        <v>20</v>
      </c>
      <c r="M74" t="s">
        <v>21</v>
      </c>
      <c r="N74" t="s">
        <v>130</v>
      </c>
      <c r="O74" t="s">
        <v>141</v>
      </c>
    </row>
    <row r="75" spans="1:15" x14ac:dyDescent="0.75">
      <c r="A75" s="1">
        <v>145284</v>
      </c>
      <c r="B75">
        <v>72921</v>
      </c>
      <c r="C75" t="s">
        <v>142</v>
      </c>
      <c r="D75" t="s">
        <v>16</v>
      </c>
      <c r="E75">
        <f>SUM(K75-1921)</f>
        <v>35</v>
      </c>
      <c r="H75" t="s">
        <v>17</v>
      </c>
      <c r="I75" t="s">
        <v>18</v>
      </c>
      <c r="J75" t="s">
        <v>19</v>
      </c>
      <c r="K75">
        <v>1956</v>
      </c>
      <c r="L75" t="s">
        <v>20</v>
      </c>
      <c r="M75" t="s">
        <v>21</v>
      </c>
      <c r="N75" t="s">
        <v>90</v>
      </c>
      <c r="O75" t="s">
        <v>143</v>
      </c>
    </row>
    <row r="76" spans="1:15" x14ac:dyDescent="0.75">
      <c r="A76" s="1">
        <v>154779</v>
      </c>
      <c r="B76">
        <v>77697</v>
      </c>
      <c r="C76" t="s">
        <v>144</v>
      </c>
      <c r="D76" t="s">
        <v>16</v>
      </c>
      <c r="E76">
        <f>SUM((K76-1934)-1)</f>
        <v>21</v>
      </c>
      <c r="H76" t="s">
        <v>17</v>
      </c>
      <c r="I76" t="s">
        <v>18</v>
      </c>
      <c r="J76" t="s">
        <v>19</v>
      </c>
      <c r="K76">
        <v>1956</v>
      </c>
      <c r="L76" t="s">
        <v>20</v>
      </c>
      <c r="M76" t="s">
        <v>21</v>
      </c>
      <c r="N76" t="s">
        <v>51</v>
      </c>
      <c r="O76" t="s">
        <v>145</v>
      </c>
    </row>
    <row r="77" spans="1:15" x14ac:dyDescent="0.75">
      <c r="A77" s="1">
        <v>155414</v>
      </c>
      <c r="B77">
        <v>78019</v>
      </c>
      <c r="C77" t="s">
        <v>146</v>
      </c>
      <c r="D77" t="s">
        <v>16</v>
      </c>
      <c r="E77">
        <f>SUM(K77-1926)</f>
        <v>30</v>
      </c>
      <c r="H77" t="s">
        <v>17</v>
      </c>
      <c r="I77" t="s">
        <v>18</v>
      </c>
      <c r="J77" t="s">
        <v>19</v>
      </c>
      <c r="K77">
        <v>1956</v>
      </c>
      <c r="L77" t="s">
        <v>20</v>
      </c>
      <c r="M77" t="s">
        <v>21</v>
      </c>
      <c r="N77" t="s">
        <v>64</v>
      </c>
      <c r="O77" t="s">
        <v>65</v>
      </c>
    </row>
    <row r="78" spans="1:15" x14ac:dyDescent="0.75">
      <c r="A78" s="1">
        <v>156713</v>
      </c>
      <c r="B78">
        <v>78729</v>
      </c>
      <c r="C78" t="s">
        <v>147</v>
      </c>
      <c r="D78" t="s">
        <v>16</v>
      </c>
      <c r="E78">
        <f>SUM(K78-1903)</f>
        <v>45</v>
      </c>
      <c r="H78" t="s">
        <v>17</v>
      </c>
      <c r="I78" t="s">
        <v>18</v>
      </c>
      <c r="J78" t="s">
        <v>31</v>
      </c>
      <c r="K78">
        <v>1948</v>
      </c>
      <c r="L78" t="s">
        <v>20</v>
      </c>
      <c r="M78" t="s">
        <v>32</v>
      </c>
      <c r="N78" t="s">
        <v>22</v>
      </c>
      <c r="O78" t="s">
        <v>148</v>
      </c>
    </row>
    <row r="79" spans="1:15" x14ac:dyDescent="0.75">
      <c r="A79" s="1">
        <v>162659</v>
      </c>
      <c r="B79">
        <v>81679</v>
      </c>
      <c r="C79" t="s">
        <v>149</v>
      </c>
      <c r="D79" t="s">
        <v>16</v>
      </c>
      <c r="E79">
        <f>SUM(K79-1932)</f>
        <v>24</v>
      </c>
      <c r="H79" t="s">
        <v>17</v>
      </c>
      <c r="I79" t="s">
        <v>18</v>
      </c>
      <c r="J79" t="s">
        <v>19</v>
      </c>
      <c r="K79">
        <v>1956</v>
      </c>
      <c r="L79" t="s">
        <v>20</v>
      </c>
      <c r="M79" t="s">
        <v>21</v>
      </c>
      <c r="N79" t="s">
        <v>76</v>
      </c>
      <c r="O79" t="s">
        <v>150</v>
      </c>
    </row>
    <row r="80" spans="1:15" x14ac:dyDescent="0.75">
      <c r="A80" s="1">
        <v>163891</v>
      </c>
      <c r="B80">
        <v>82252</v>
      </c>
      <c r="C80" t="s">
        <v>151</v>
      </c>
      <c r="D80" t="s">
        <v>16</v>
      </c>
      <c r="E80">
        <f t="shared" ref="E80:E81" si="6">SUM(K80-1896)</f>
        <v>32</v>
      </c>
      <c r="H80" t="s">
        <v>17</v>
      </c>
      <c r="I80" t="s">
        <v>18</v>
      </c>
      <c r="J80" t="s">
        <v>84</v>
      </c>
      <c r="K80">
        <v>1928</v>
      </c>
      <c r="L80" t="s">
        <v>20</v>
      </c>
      <c r="M80" t="s">
        <v>85</v>
      </c>
      <c r="N80" t="s">
        <v>130</v>
      </c>
      <c r="O80" t="s">
        <v>152</v>
      </c>
    </row>
    <row r="81" spans="1:16" x14ac:dyDescent="0.75">
      <c r="A81" s="1">
        <v>163892</v>
      </c>
      <c r="B81">
        <v>82252</v>
      </c>
      <c r="C81" t="s">
        <v>151</v>
      </c>
      <c r="D81" t="s">
        <v>16</v>
      </c>
      <c r="E81">
        <f t="shared" si="6"/>
        <v>32</v>
      </c>
      <c r="H81" t="s">
        <v>17</v>
      </c>
      <c r="I81" t="s">
        <v>18</v>
      </c>
      <c r="J81" t="s">
        <v>84</v>
      </c>
      <c r="K81">
        <v>1928</v>
      </c>
      <c r="L81" t="s">
        <v>20</v>
      </c>
      <c r="M81" t="s">
        <v>85</v>
      </c>
      <c r="N81" t="s">
        <v>130</v>
      </c>
      <c r="O81" t="s">
        <v>153</v>
      </c>
    </row>
    <row r="82" spans="1:16" x14ac:dyDescent="0.75">
      <c r="A82" s="1">
        <v>163893</v>
      </c>
      <c r="B82">
        <v>82252</v>
      </c>
      <c r="C82" t="s">
        <v>151</v>
      </c>
      <c r="D82" t="s">
        <v>16</v>
      </c>
      <c r="E82">
        <f>SUM(K82-1896)</f>
        <v>32</v>
      </c>
      <c r="H82" t="s">
        <v>17</v>
      </c>
      <c r="I82" t="s">
        <v>18</v>
      </c>
      <c r="J82" t="s">
        <v>84</v>
      </c>
      <c r="K82">
        <v>1928</v>
      </c>
      <c r="L82" t="s">
        <v>20</v>
      </c>
      <c r="M82" t="s">
        <v>85</v>
      </c>
      <c r="N82" t="s">
        <v>90</v>
      </c>
      <c r="O82" t="s">
        <v>112</v>
      </c>
    </row>
    <row r="83" spans="1:16" x14ac:dyDescent="0.75">
      <c r="A83" s="1">
        <v>170324</v>
      </c>
      <c r="B83">
        <v>85580</v>
      </c>
      <c r="C83" t="s">
        <v>154</v>
      </c>
      <c r="D83" t="s">
        <v>16</v>
      </c>
      <c r="E83">
        <f>SUM(K83-1903)</f>
        <v>21</v>
      </c>
      <c r="F83">
        <v>185</v>
      </c>
      <c r="H83" t="s">
        <v>17</v>
      </c>
      <c r="I83" t="s">
        <v>18</v>
      </c>
      <c r="J83" t="s">
        <v>54</v>
      </c>
      <c r="K83">
        <v>1924</v>
      </c>
      <c r="L83" t="s">
        <v>20</v>
      </c>
      <c r="M83" t="s">
        <v>55</v>
      </c>
      <c r="N83" t="s">
        <v>155</v>
      </c>
      <c r="O83" t="s">
        <v>156</v>
      </c>
    </row>
    <row r="84" spans="1:16" x14ac:dyDescent="0.75">
      <c r="A84" s="1">
        <v>170325</v>
      </c>
      <c r="B84">
        <v>85580</v>
      </c>
      <c r="C84" t="s">
        <v>154</v>
      </c>
      <c r="D84" t="s">
        <v>16</v>
      </c>
      <c r="E84">
        <f>SUM(K84-1903)</f>
        <v>21</v>
      </c>
      <c r="F84">
        <v>185</v>
      </c>
      <c r="H84" t="s">
        <v>17</v>
      </c>
      <c r="I84" t="s">
        <v>18</v>
      </c>
      <c r="J84" t="s">
        <v>54</v>
      </c>
      <c r="K84">
        <v>1924</v>
      </c>
      <c r="L84" t="s">
        <v>20</v>
      </c>
      <c r="M84" t="s">
        <v>55</v>
      </c>
      <c r="N84" t="s">
        <v>155</v>
      </c>
      <c r="O84" t="s">
        <v>157</v>
      </c>
    </row>
    <row r="85" spans="1:16" x14ac:dyDescent="0.75">
      <c r="A85" s="1">
        <v>170888</v>
      </c>
      <c r="B85">
        <v>85891</v>
      </c>
      <c r="C85" t="s">
        <v>158</v>
      </c>
      <c r="D85" t="s">
        <v>16</v>
      </c>
      <c r="E85">
        <f>SUM((K85-1933)-1)</f>
        <v>22</v>
      </c>
      <c r="H85" t="s">
        <v>17</v>
      </c>
      <c r="I85" t="s">
        <v>18</v>
      </c>
      <c r="J85" t="s">
        <v>19</v>
      </c>
      <c r="K85">
        <v>1956</v>
      </c>
      <c r="L85" t="s">
        <v>20</v>
      </c>
      <c r="M85" t="s">
        <v>21</v>
      </c>
      <c r="N85" t="s">
        <v>159</v>
      </c>
      <c r="O85" t="s">
        <v>160</v>
      </c>
    </row>
    <row r="86" spans="1:16" x14ac:dyDescent="0.75">
      <c r="A86" s="1">
        <v>170889</v>
      </c>
      <c r="B86">
        <v>85891</v>
      </c>
      <c r="C86" t="s">
        <v>158</v>
      </c>
      <c r="D86" t="s">
        <v>16</v>
      </c>
      <c r="E86">
        <f>SUM((K86-1933)-1)</f>
        <v>22</v>
      </c>
      <c r="H86" t="s">
        <v>17</v>
      </c>
      <c r="I86" t="s">
        <v>18</v>
      </c>
      <c r="J86" t="s">
        <v>19</v>
      </c>
      <c r="K86">
        <v>1956</v>
      </c>
      <c r="L86" t="s">
        <v>20</v>
      </c>
      <c r="M86" t="s">
        <v>21</v>
      </c>
      <c r="N86" t="s">
        <v>159</v>
      </c>
      <c r="O86" t="s">
        <v>161</v>
      </c>
    </row>
    <row r="87" spans="1:16" x14ac:dyDescent="0.75">
      <c r="A87" s="1">
        <v>178366</v>
      </c>
      <c r="B87">
        <v>89665</v>
      </c>
      <c r="C87" t="s">
        <v>162</v>
      </c>
      <c r="D87" t="s">
        <v>16</v>
      </c>
      <c r="E87">
        <f>SUM(K87-1933)</f>
        <v>23</v>
      </c>
      <c r="H87" t="s">
        <v>17</v>
      </c>
      <c r="I87" t="s">
        <v>18</v>
      </c>
      <c r="J87" t="s">
        <v>19</v>
      </c>
      <c r="K87">
        <v>1956</v>
      </c>
      <c r="L87" t="s">
        <v>20</v>
      </c>
      <c r="M87" t="s">
        <v>21</v>
      </c>
      <c r="N87" t="s">
        <v>76</v>
      </c>
      <c r="O87" t="s">
        <v>163</v>
      </c>
    </row>
    <row r="88" spans="1:16" x14ac:dyDescent="0.75">
      <c r="A88" s="1">
        <v>178367</v>
      </c>
      <c r="B88">
        <v>89665</v>
      </c>
      <c r="C88" t="s">
        <v>162</v>
      </c>
      <c r="D88" t="s">
        <v>16</v>
      </c>
      <c r="E88">
        <f>SUM(K88-1933)</f>
        <v>23</v>
      </c>
      <c r="H88" t="s">
        <v>17</v>
      </c>
      <c r="I88" t="s">
        <v>18</v>
      </c>
      <c r="J88" t="s">
        <v>19</v>
      </c>
      <c r="K88">
        <v>1956</v>
      </c>
      <c r="L88" t="s">
        <v>20</v>
      </c>
      <c r="M88" t="s">
        <v>21</v>
      </c>
      <c r="N88" t="s">
        <v>76</v>
      </c>
      <c r="O88" t="s">
        <v>164</v>
      </c>
    </row>
    <row r="89" spans="1:16" x14ac:dyDescent="0.75">
      <c r="A89" s="1">
        <v>180756</v>
      </c>
      <c r="B89">
        <v>90845</v>
      </c>
      <c r="C89" t="s">
        <v>165</v>
      </c>
      <c r="D89" t="s">
        <v>16</v>
      </c>
      <c r="E89">
        <f>SUM(K89-1927)</f>
        <v>25</v>
      </c>
      <c r="H89" t="s">
        <v>17</v>
      </c>
      <c r="I89" t="s">
        <v>18</v>
      </c>
      <c r="J89" t="s">
        <v>166</v>
      </c>
      <c r="K89">
        <v>1952</v>
      </c>
      <c r="L89" t="s">
        <v>20</v>
      </c>
      <c r="M89" t="s">
        <v>167</v>
      </c>
      <c r="N89" t="s">
        <v>56</v>
      </c>
      <c r="O89" t="s">
        <v>168</v>
      </c>
    </row>
    <row r="90" spans="1:16" x14ac:dyDescent="0.75">
      <c r="A90" s="1">
        <v>182336</v>
      </c>
      <c r="B90">
        <v>91655</v>
      </c>
      <c r="C90" t="s">
        <v>169</v>
      </c>
      <c r="D90" t="s">
        <v>16</v>
      </c>
      <c r="E90">
        <f>SUM((K90-1897)-1)</f>
        <v>22</v>
      </c>
      <c r="F90">
        <v>183</v>
      </c>
      <c r="G90">
        <v>81</v>
      </c>
      <c r="H90" t="s">
        <v>17</v>
      </c>
      <c r="I90" t="s">
        <v>18</v>
      </c>
      <c r="J90" t="s">
        <v>122</v>
      </c>
      <c r="K90">
        <v>1920</v>
      </c>
      <c r="L90" t="s">
        <v>20</v>
      </c>
      <c r="M90" t="s">
        <v>123</v>
      </c>
      <c r="N90" t="s">
        <v>155</v>
      </c>
      <c r="O90" t="s">
        <v>170</v>
      </c>
      <c r="P90" t="s">
        <v>126</v>
      </c>
    </row>
    <row r="91" spans="1:16" x14ac:dyDescent="0.75">
      <c r="A91" s="1">
        <v>182337</v>
      </c>
      <c r="B91">
        <v>91655</v>
      </c>
      <c r="C91" t="s">
        <v>169</v>
      </c>
      <c r="D91" t="s">
        <v>16</v>
      </c>
      <c r="E91">
        <f>SUM((K91-1897)-1)</f>
        <v>22</v>
      </c>
      <c r="F91">
        <v>183</v>
      </c>
      <c r="G91">
        <v>81</v>
      </c>
      <c r="H91" t="s">
        <v>17</v>
      </c>
      <c r="I91" t="s">
        <v>18</v>
      </c>
      <c r="J91" t="s">
        <v>122</v>
      </c>
      <c r="K91">
        <v>1920</v>
      </c>
      <c r="L91" t="s">
        <v>20</v>
      </c>
      <c r="M91" t="s">
        <v>123</v>
      </c>
      <c r="N91" t="s">
        <v>155</v>
      </c>
      <c r="O91" t="s">
        <v>171</v>
      </c>
    </row>
    <row r="92" spans="1:16" x14ac:dyDescent="0.75">
      <c r="A92" s="1">
        <v>182369</v>
      </c>
      <c r="B92">
        <v>91675</v>
      </c>
      <c r="C92" t="s">
        <v>172</v>
      </c>
      <c r="D92" t="s">
        <v>16</v>
      </c>
      <c r="E92">
        <f>SUM(K92-1916)</f>
        <v>32</v>
      </c>
      <c r="H92" t="s">
        <v>17</v>
      </c>
      <c r="I92" t="s">
        <v>18</v>
      </c>
      <c r="J92" t="s">
        <v>31</v>
      </c>
      <c r="K92">
        <v>1948</v>
      </c>
      <c r="L92" t="s">
        <v>20</v>
      </c>
      <c r="M92" t="s">
        <v>32</v>
      </c>
      <c r="N92" t="s">
        <v>22</v>
      </c>
      <c r="O92" t="s">
        <v>148</v>
      </c>
    </row>
    <row r="93" spans="1:16" x14ac:dyDescent="0.75">
      <c r="A93" s="1">
        <v>183106</v>
      </c>
      <c r="B93">
        <v>92031</v>
      </c>
      <c r="C93" t="s">
        <v>173</v>
      </c>
      <c r="D93" t="s">
        <v>16</v>
      </c>
      <c r="E93">
        <f>SUM(K93-1928)</f>
        <v>28</v>
      </c>
      <c r="H93" t="s">
        <v>17</v>
      </c>
      <c r="I93" t="s">
        <v>18</v>
      </c>
      <c r="J93" t="s">
        <v>19</v>
      </c>
      <c r="K93">
        <v>1956</v>
      </c>
      <c r="L93" t="s">
        <v>20</v>
      </c>
      <c r="M93" t="s">
        <v>21</v>
      </c>
      <c r="N93" t="s">
        <v>90</v>
      </c>
      <c r="O93" t="s">
        <v>174</v>
      </c>
    </row>
    <row r="94" spans="1:16" x14ac:dyDescent="0.75">
      <c r="A94" s="1">
        <v>199630</v>
      </c>
      <c r="B94">
        <v>100273</v>
      </c>
      <c r="C94" t="s">
        <v>175</v>
      </c>
      <c r="D94" t="s">
        <v>73</v>
      </c>
      <c r="E94">
        <f>SUM((K94-1881)-1)</f>
        <v>42</v>
      </c>
      <c r="H94" t="s">
        <v>17</v>
      </c>
      <c r="I94" t="s">
        <v>18</v>
      </c>
      <c r="J94" t="s">
        <v>54</v>
      </c>
      <c r="K94">
        <v>1924</v>
      </c>
      <c r="L94" t="s">
        <v>20</v>
      </c>
      <c r="M94" t="s">
        <v>55</v>
      </c>
      <c r="N94" t="s">
        <v>176</v>
      </c>
      <c r="O94" t="s">
        <v>177</v>
      </c>
    </row>
    <row r="95" spans="1:16" x14ac:dyDescent="0.75">
      <c r="A95" s="1">
        <v>206806</v>
      </c>
      <c r="B95">
        <v>103795</v>
      </c>
      <c r="C95" t="s">
        <v>178</v>
      </c>
      <c r="D95" t="s">
        <v>16</v>
      </c>
      <c r="E95">
        <f t="shared" ref="E95:E96" si="7">SUM(K95-1912)</f>
        <v>20</v>
      </c>
      <c r="F95">
        <v>178</v>
      </c>
      <c r="H95" t="s">
        <v>17</v>
      </c>
      <c r="I95" t="s">
        <v>18</v>
      </c>
      <c r="J95" t="s">
        <v>179</v>
      </c>
      <c r="K95">
        <v>1932</v>
      </c>
      <c r="L95" t="s">
        <v>20</v>
      </c>
      <c r="M95" t="s">
        <v>180</v>
      </c>
      <c r="N95" t="s">
        <v>86</v>
      </c>
      <c r="O95" t="s">
        <v>124</v>
      </c>
    </row>
    <row r="96" spans="1:16" x14ac:dyDescent="0.75">
      <c r="A96" s="1">
        <v>206807</v>
      </c>
      <c r="B96">
        <v>103795</v>
      </c>
      <c r="C96" t="s">
        <v>178</v>
      </c>
      <c r="D96" t="s">
        <v>16</v>
      </c>
      <c r="E96">
        <f t="shared" si="7"/>
        <v>20</v>
      </c>
      <c r="F96">
        <v>178</v>
      </c>
      <c r="H96" t="s">
        <v>17</v>
      </c>
      <c r="I96" t="s">
        <v>18</v>
      </c>
      <c r="J96" t="s">
        <v>179</v>
      </c>
      <c r="K96">
        <v>1932</v>
      </c>
      <c r="L96" t="s">
        <v>20</v>
      </c>
      <c r="M96" t="s">
        <v>180</v>
      </c>
      <c r="N96" t="s">
        <v>86</v>
      </c>
      <c r="O96" t="s">
        <v>125</v>
      </c>
    </row>
    <row r="97" spans="1:16" x14ac:dyDescent="0.75">
      <c r="A97" s="1">
        <v>206808</v>
      </c>
      <c r="B97">
        <v>103795</v>
      </c>
      <c r="C97" t="s">
        <v>178</v>
      </c>
      <c r="D97" t="s">
        <v>16</v>
      </c>
      <c r="E97">
        <f>SUM(K97-1912)</f>
        <v>20</v>
      </c>
      <c r="F97">
        <v>178</v>
      </c>
      <c r="H97" t="s">
        <v>17</v>
      </c>
      <c r="I97" t="s">
        <v>18</v>
      </c>
      <c r="J97" t="s">
        <v>179</v>
      </c>
      <c r="K97">
        <v>1932</v>
      </c>
      <c r="L97" t="s">
        <v>20</v>
      </c>
      <c r="M97" t="s">
        <v>180</v>
      </c>
      <c r="N97" t="s">
        <v>86</v>
      </c>
      <c r="O97" t="s">
        <v>107</v>
      </c>
    </row>
    <row r="98" spans="1:16" x14ac:dyDescent="0.75">
      <c r="A98" s="1">
        <v>210341</v>
      </c>
      <c r="B98">
        <v>105598</v>
      </c>
      <c r="C98" t="s">
        <v>181</v>
      </c>
      <c r="D98" t="s">
        <v>16</v>
      </c>
      <c r="E98">
        <f>SUM(K98-1921)</f>
        <v>35</v>
      </c>
      <c r="F98">
        <v>170</v>
      </c>
      <c r="G98">
        <v>70</v>
      </c>
      <c r="H98" t="s">
        <v>17</v>
      </c>
      <c r="I98" t="s">
        <v>18</v>
      </c>
      <c r="J98" t="s">
        <v>19</v>
      </c>
      <c r="K98">
        <v>1956</v>
      </c>
      <c r="L98" t="s">
        <v>20</v>
      </c>
      <c r="M98" t="s">
        <v>21</v>
      </c>
      <c r="N98" t="s">
        <v>51</v>
      </c>
      <c r="O98" t="s">
        <v>182</v>
      </c>
    </row>
    <row r="99" spans="1:16" x14ac:dyDescent="0.75">
      <c r="A99" s="1">
        <v>215151</v>
      </c>
      <c r="B99">
        <v>108011</v>
      </c>
      <c r="C99" t="s">
        <v>183</v>
      </c>
      <c r="D99" t="s">
        <v>16</v>
      </c>
      <c r="E99">
        <f>SUM((K99-1934)-1)</f>
        <v>21</v>
      </c>
      <c r="H99" t="s">
        <v>184</v>
      </c>
      <c r="I99" t="s">
        <v>18</v>
      </c>
      <c r="J99" t="s">
        <v>19</v>
      </c>
      <c r="K99">
        <v>1956</v>
      </c>
      <c r="L99" t="s">
        <v>20</v>
      </c>
      <c r="M99" t="s">
        <v>21</v>
      </c>
      <c r="N99" t="s">
        <v>60</v>
      </c>
      <c r="O99" t="s">
        <v>185</v>
      </c>
      <c r="P99" t="s">
        <v>126</v>
      </c>
    </row>
    <row r="100" spans="1:16" x14ac:dyDescent="0.75">
      <c r="A100" s="1">
        <v>221398</v>
      </c>
      <c r="B100">
        <v>111276</v>
      </c>
      <c r="C100" t="s">
        <v>186</v>
      </c>
      <c r="D100" t="s">
        <v>73</v>
      </c>
      <c r="E100">
        <f>SUM(K100-1936)</f>
        <v>20</v>
      </c>
      <c r="H100" t="s">
        <v>17</v>
      </c>
      <c r="I100" t="s">
        <v>18</v>
      </c>
      <c r="J100" t="s">
        <v>19</v>
      </c>
      <c r="K100">
        <v>1956</v>
      </c>
      <c r="L100" t="s">
        <v>20</v>
      </c>
      <c r="M100" t="s">
        <v>21</v>
      </c>
      <c r="N100" t="s">
        <v>86</v>
      </c>
      <c r="O100" t="s">
        <v>187</v>
      </c>
    </row>
    <row r="101" spans="1:16" x14ac:dyDescent="0.75">
      <c r="A101" s="1">
        <v>227484</v>
      </c>
      <c r="B101">
        <v>114289</v>
      </c>
      <c r="C101" t="s">
        <v>188</v>
      </c>
      <c r="D101" t="s">
        <v>16</v>
      </c>
      <c r="E101">
        <f>SUM(K101-1909)</f>
        <v>19</v>
      </c>
      <c r="H101" t="s">
        <v>17</v>
      </c>
      <c r="I101" t="s">
        <v>18</v>
      </c>
      <c r="J101" t="s">
        <v>84</v>
      </c>
      <c r="K101">
        <v>1928</v>
      </c>
      <c r="L101" t="s">
        <v>20</v>
      </c>
      <c r="M101" t="s">
        <v>85</v>
      </c>
      <c r="N101" t="s">
        <v>76</v>
      </c>
      <c r="O101" t="s">
        <v>77</v>
      </c>
    </row>
    <row r="102" spans="1:16" x14ac:dyDescent="0.75">
      <c r="A102" s="1">
        <v>228160</v>
      </c>
      <c r="B102">
        <v>114600</v>
      </c>
      <c r="C102" t="s">
        <v>189</v>
      </c>
      <c r="D102" t="s">
        <v>16</v>
      </c>
      <c r="E102">
        <f>SUM((K102-1928)-1)</f>
        <v>27</v>
      </c>
      <c r="H102" t="s">
        <v>17</v>
      </c>
      <c r="I102" t="s">
        <v>18</v>
      </c>
      <c r="J102" t="s">
        <v>19</v>
      </c>
      <c r="K102">
        <v>1956</v>
      </c>
      <c r="L102" t="s">
        <v>20</v>
      </c>
      <c r="M102" t="s">
        <v>21</v>
      </c>
      <c r="N102" t="s">
        <v>51</v>
      </c>
      <c r="O102" t="s">
        <v>52</v>
      </c>
    </row>
    <row r="103" spans="1:16" x14ac:dyDescent="0.75">
      <c r="A103" s="1">
        <v>232743</v>
      </c>
      <c r="B103">
        <v>116749</v>
      </c>
      <c r="C103" t="s">
        <v>190</v>
      </c>
      <c r="D103" t="s">
        <v>16</v>
      </c>
      <c r="E103">
        <f>SUM((K103-1931)-1)</f>
        <v>24</v>
      </c>
      <c r="H103" t="s">
        <v>17</v>
      </c>
      <c r="I103" t="s">
        <v>18</v>
      </c>
      <c r="J103" t="s">
        <v>19</v>
      </c>
      <c r="K103">
        <v>1956</v>
      </c>
      <c r="L103" t="s">
        <v>20</v>
      </c>
      <c r="M103" t="s">
        <v>21</v>
      </c>
      <c r="N103" t="s">
        <v>81</v>
      </c>
      <c r="O103" t="s">
        <v>82</v>
      </c>
    </row>
    <row r="104" spans="1:16" x14ac:dyDescent="0.75">
      <c r="A104" s="1">
        <v>239191</v>
      </c>
      <c r="B104">
        <v>119902</v>
      </c>
      <c r="C104" t="s">
        <v>191</v>
      </c>
      <c r="D104" t="s">
        <v>73</v>
      </c>
      <c r="E104">
        <f>SUM(K104-1909)</f>
        <v>19</v>
      </c>
      <c r="H104" t="s">
        <v>17</v>
      </c>
      <c r="I104" t="s">
        <v>18</v>
      </c>
      <c r="J104" t="s">
        <v>84</v>
      </c>
      <c r="K104">
        <v>1928</v>
      </c>
      <c r="L104" t="s">
        <v>20</v>
      </c>
      <c r="M104" t="s">
        <v>85</v>
      </c>
      <c r="N104" t="s">
        <v>86</v>
      </c>
      <c r="O104" t="s">
        <v>97</v>
      </c>
    </row>
    <row r="105" spans="1:16" x14ac:dyDescent="0.75">
      <c r="A105" s="1">
        <v>243405</v>
      </c>
      <c r="B105">
        <v>121902</v>
      </c>
      <c r="C105" t="s">
        <v>192</v>
      </c>
      <c r="D105" t="s">
        <v>16</v>
      </c>
      <c r="E105">
        <f>SUM(K105-1935)</f>
        <v>21</v>
      </c>
      <c r="H105" t="s">
        <v>17</v>
      </c>
      <c r="I105" t="s">
        <v>18</v>
      </c>
      <c r="J105" t="s">
        <v>19</v>
      </c>
      <c r="K105">
        <v>1956</v>
      </c>
      <c r="L105" t="s">
        <v>20</v>
      </c>
      <c r="M105" t="s">
        <v>21</v>
      </c>
      <c r="N105" t="s">
        <v>76</v>
      </c>
      <c r="O105" t="s">
        <v>163</v>
      </c>
    </row>
    <row r="106" spans="1:16" x14ac:dyDescent="0.75">
      <c r="A106" s="1">
        <v>243406</v>
      </c>
      <c r="B106">
        <v>121902</v>
      </c>
      <c r="C106" t="s">
        <v>192</v>
      </c>
      <c r="D106" t="s">
        <v>16</v>
      </c>
      <c r="E106">
        <f>SUM(K106-1935)</f>
        <v>21</v>
      </c>
      <c r="H106" t="s">
        <v>17</v>
      </c>
      <c r="I106" t="s">
        <v>18</v>
      </c>
      <c r="J106" t="s">
        <v>19</v>
      </c>
      <c r="K106">
        <v>1956</v>
      </c>
      <c r="L106" t="s">
        <v>20</v>
      </c>
      <c r="M106" t="s">
        <v>21</v>
      </c>
      <c r="N106" t="s">
        <v>76</v>
      </c>
      <c r="O106" t="s">
        <v>164</v>
      </c>
    </row>
    <row r="107" spans="1:16" x14ac:dyDescent="0.75">
      <c r="A107" s="1">
        <v>244829</v>
      </c>
      <c r="B107">
        <v>122582</v>
      </c>
      <c r="C107" t="s">
        <v>193</v>
      </c>
      <c r="D107" t="s">
        <v>16</v>
      </c>
      <c r="E107">
        <f>SUM(K107-1932)</f>
        <v>24</v>
      </c>
      <c r="H107" t="s">
        <v>17</v>
      </c>
      <c r="I107" t="s">
        <v>18</v>
      </c>
      <c r="J107" t="s">
        <v>19</v>
      </c>
      <c r="K107">
        <v>1956</v>
      </c>
      <c r="L107" t="s">
        <v>20</v>
      </c>
      <c r="M107" t="s">
        <v>21</v>
      </c>
      <c r="N107" t="s">
        <v>130</v>
      </c>
      <c r="O107" t="s">
        <v>153</v>
      </c>
    </row>
    <row r="108" spans="1:16" x14ac:dyDescent="0.75">
      <c r="A108" s="1">
        <v>248182</v>
      </c>
      <c r="B108">
        <v>124250</v>
      </c>
      <c r="C108" t="s">
        <v>194</v>
      </c>
      <c r="D108" t="s">
        <v>16</v>
      </c>
      <c r="E108">
        <f>SUM(K108-1959)</f>
        <v>17</v>
      </c>
      <c r="H108" t="s">
        <v>17</v>
      </c>
      <c r="I108" t="s">
        <v>18</v>
      </c>
      <c r="J108" t="s">
        <v>195</v>
      </c>
      <c r="K108">
        <v>1976</v>
      </c>
      <c r="L108" t="s">
        <v>20</v>
      </c>
      <c r="M108" t="s">
        <v>196</v>
      </c>
      <c r="N108" t="s">
        <v>86</v>
      </c>
      <c r="O108" t="s">
        <v>197</v>
      </c>
    </row>
    <row r="109" spans="1:16" x14ac:dyDescent="0.75">
      <c r="A109" s="1">
        <v>248183</v>
      </c>
      <c r="B109">
        <v>124250</v>
      </c>
      <c r="C109" t="s">
        <v>194</v>
      </c>
      <c r="D109" t="s">
        <v>16</v>
      </c>
      <c r="E109">
        <f>SUM(K109-1959)</f>
        <v>17</v>
      </c>
      <c r="H109" t="s">
        <v>17</v>
      </c>
      <c r="I109" t="s">
        <v>18</v>
      </c>
      <c r="J109" t="s">
        <v>195</v>
      </c>
      <c r="K109">
        <v>1976</v>
      </c>
      <c r="L109" t="s">
        <v>20</v>
      </c>
      <c r="M109" t="s">
        <v>196</v>
      </c>
      <c r="N109" t="s">
        <v>86</v>
      </c>
      <c r="O109" t="s">
        <v>198</v>
      </c>
    </row>
    <row r="110" spans="1:16" x14ac:dyDescent="0.75">
      <c r="A110" s="1">
        <v>257945</v>
      </c>
      <c r="B110">
        <v>129180</v>
      </c>
      <c r="C110" t="s">
        <v>199</v>
      </c>
      <c r="D110" t="s">
        <v>16</v>
      </c>
      <c r="E110">
        <f>SUM(K110-1917)</f>
        <v>31</v>
      </c>
      <c r="H110" t="s">
        <v>17</v>
      </c>
      <c r="I110" t="s">
        <v>18</v>
      </c>
      <c r="J110" t="s">
        <v>31</v>
      </c>
      <c r="K110">
        <v>1948</v>
      </c>
      <c r="L110" t="s">
        <v>20</v>
      </c>
      <c r="M110" t="s">
        <v>32</v>
      </c>
      <c r="N110" t="s">
        <v>56</v>
      </c>
      <c r="O110" t="s">
        <v>200</v>
      </c>
    </row>
    <row r="111" spans="1:16" x14ac:dyDescent="0.75">
      <c r="A111" s="1">
        <v>259784</v>
      </c>
      <c r="B111">
        <v>130056</v>
      </c>
      <c r="C111" t="s">
        <v>201</v>
      </c>
      <c r="D111" t="s">
        <v>16</v>
      </c>
      <c r="E111">
        <f>SUM(K111-1932)</f>
        <v>24</v>
      </c>
      <c r="H111" t="s">
        <v>17</v>
      </c>
      <c r="I111" t="s">
        <v>18</v>
      </c>
      <c r="J111" t="s">
        <v>19</v>
      </c>
      <c r="K111">
        <v>1956</v>
      </c>
      <c r="L111" t="s">
        <v>20</v>
      </c>
      <c r="M111" t="s">
        <v>21</v>
      </c>
      <c r="N111" t="s">
        <v>64</v>
      </c>
      <c r="O111" t="s">
        <v>65</v>
      </c>
    </row>
    <row r="112" spans="1:16" x14ac:dyDescent="0.75">
      <c r="A112" s="1">
        <v>261968</v>
      </c>
      <c r="B112">
        <v>131069</v>
      </c>
      <c r="C112" t="s">
        <v>202</v>
      </c>
      <c r="D112" t="s">
        <v>16</v>
      </c>
      <c r="E112">
        <f>SUM(K112-1937)</f>
        <v>19</v>
      </c>
      <c r="H112" t="s">
        <v>17</v>
      </c>
      <c r="I112" t="s">
        <v>18</v>
      </c>
      <c r="J112" t="s">
        <v>19</v>
      </c>
      <c r="K112">
        <v>1956</v>
      </c>
      <c r="L112" t="s">
        <v>20</v>
      </c>
      <c r="M112" t="s">
        <v>21</v>
      </c>
      <c r="N112" t="s">
        <v>130</v>
      </c>
      <c r="O112" t="s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Pontus Johansson</cp:lastModifiedBy>
  <dcterms:created xsi:type="dcterms:W3CDTF">2025-11-10T13:29:54Z</dcterms:created>
  <dcterms:modified xsi:type="dcterms:W3CDTF">2025-11-10T16:26:53Z</dcterms:modified>
</cp:coreProperties>
</file>